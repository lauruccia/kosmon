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truzioni" sheetId="1" state="visible" r:id="rId3"/>
    <sheet name="Parametri" sheetId="2" state="visible" r:id="rId4"/>
    <sheet name="Sconto 25%" sheetId="3" state="visible" r:id="rId5"/>
    <sheet name="Margine ricarica" sheetId="4" state="visible" r:id="rId6"/>
    <sheet name="Compenso agente" sheetId="5" state="visible" r:id="rId7"/>
    <sheet name="Proiezione 12 mesi" sheetId="6" state="visible" r:id="rId8"/>
    <sheet name="Esposizione Ky" sheetId="7" state="visible" r:id="rId9"/>
    <sheet name="Break-even BasiQ" sheetId="8" state="visible" r:id="rId10"/>
    <sheet name="Stress tes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<sst xmlns="http://schemas.openxmlformats.org/spreadsheetml/2006/main" count="271" uniqueCount="236">
  <si>
    <t xml:space="preserve">KMoney — Modello economico</t>
  </si>
  <si>
    <t xml:space="preserve">Allegato al documento di strategia del 14/08/2026. Tutte le celle BLU sono modificabili: il resto si ricalcola.</t>
  </si>
  <si>
    <t xml:space="preserve">LEGENDA COLORI</t>
  </si>
  <si>
    <t xml:space="preserve">Testo blu</t>
  </si>
  <si>
    <t xml:space="preserve">Parametro modificabile da te. È l'unica cosa che devi toccare.</t>
  </si>
  <si>
    <t xml:space="preserve">Testo nero</t>
  </si>
  <si>
    <t xml:space="preserve">Formula calcolata. Non modificare: si aggiorna da sola.</t>
  </si>
  <si>
    <t xml:space="preserve">Testo verde</t>
  </si>
  <si>
    <t xml:space="preserve">Riferimento a un altro foglio del modello.</t>
  </si>
  <si>
    <t xml:space="preserve">Sfondo giallo</t>
  </si>
  <si>
    <t xml:space="preserve">Ipotesi chiave: il risultato è molto sensibile a questo numero.</t>
  </si>
  <si>
    <t xml:space="preserve">Sfondo rosa</t>
  </si>
  <si>
    <t xml:space="preserve">Voce di costo o di rischio.</t>
  </si>
  <si>
    <t xml:space="preserve">FOGLI</t>
  </si>
  <si>
    <t xml:space="preserve">Parametri</t>
  </si>
  <si>
    <t xml:space="preserve">Tutti i parametri del modello in un unico posto. Parti da qui.</t>
  </si>
  <si>
    <t xml:space="preserve">Sconto 25%</t>
  </si>
  <si>
    <t xml:space="preserve">La matematica del bonus: perché il 25% sulla ricarica è al massimo un 20% di sconto.</t>
  </si>
  <si>
    <t xml:space="preserve">Margine ricarica</t>
  </si>
  <si>
    <t xml:space="preserve">Margine KMoney per singola ricarica, al variare della maturità dell'agente.</t>
  </si>
  <si>
    <t xml:space="preserve">Compenso agente</t>
  </si>
  <si>
    <t xml:space="preserve">Quanto guadagna realmente un agente, per scenario di portafoglio clienti.</t>
  </si>
  <si>
    <t xml:space="preserve">Proiezione 12 mesi</t>
  </si>
  <si>
    <t xml:space="preserve">Conto economico mese per mese: ricavi, costi del piano, margine netto.</t>
  </si>
  <si>
    <t xml:space="preserve">Esposizione Ky</t>
  </si>
  <si>
    <t xml:space="preserve">Passività del circuito e riserva di cassa raccomandata.</t>
  </si>
  <si>
    <t xml:space="preserve">Break-even BasiQ</t>
  </si>
  <si>
    <t xml:space="preserve">Quante ricariche servono perché un evento BasiQ si ripaghi.</t>
  </si>
  <si>
    <t xml:space="preserve">Stress test</t>
  </si>
  <si>
    <t xml:space="preserve">Cosa succede se per 6 mesi non entra nessun nuovo agente.</t>
  </si>
  <si>
    <t xml:space="preserve">FONTE DEI NUMERI</t>
  </si>
  <si>
    <t xml:space="preserve">Verificati nel codice</t>
  </si>
  <si>
    <t xml:space="preserve">Percentuali dirette e indirette, gating, bonus di struttura, margine KNM, soglie qualifiche: letti da MlmCommissionEngine.php, MlmBonusService.php, MlmPointsService.php, MlmRankEngine.php e dalle migration mlm_rank_requirements / ky_cards (repository kmoney-app, 14/08/2026).</t>
  </si>
  <si>
    <t xml:space="preserve">Ipotesi dichiarate</t>
  </si>
  <si>
    <t xml:space="preserve">Ricarica media, tassi di conversione, crescita clienti, costi fissi, quota di Ky rispesi: sono MIE IPOTESI, segnate in giallo. Sostituiscile con i tuoi dati reali appena li hai.</t>
  </si>
  <si>
    <t xml:space="preserve">Non disponibili</t>
  </si>
  <si>
    <t xml:space="preserve">Il catalogo KY Card reale in produzione e le transaction_fees attive non erano leggibili dal repository: i valori usati qui sono ipotesi da confermare.</t>
  </si>
  <si>
    <t xml:space="preserve">Parametri del modello</t>
  </si>
  <si>
    <t xml:space="preserve">Modifica solo le celle blu. Le celle gialle sono le ipotesi a cui il risultato è più sensibile.</t>
  </si>
  <si>
    <t xml:space="preserve">Parametro</t>
  </si>
  <si>
    <t xml:space="preserve">Valore</t>
  </si>
  <si>
    <t xml:space="preserve">Unità</t>
  </si>
  <si>
    <t xml:space="preserve">Fonte / nota</t>
  </si>
  <si>
    <t xml:space="preserve">PRODOTTO</t>
  </si>
  <si>
    <t xml:space="preserve">Bonus sulla ricarica (b)</t>
  </si>
  <si>
    <t xml:space="preserve">%</t>
  </si>
  <si>
    <t xml:space="preserve">Configurabile per singola KY Card (ky_cards.bonus_value). NON è hardcoded nel codice: il 25% è una scelta di catalogo.</t>
  </si>
  <si>
    <t xml:space="preserve">Margine KNM su ricarica (m) — 'Prov K'</t>
  </si>
  <si>
    <t xml:space="preserve">SystemSetting::mlmKnmMarginPercent(), default 30. Verificato in MlmCommissionEngine.php.</t>
  </si>
  <si>
    <t xml:space="preserve">Taglio ricarica di riferimento</t>
  </si>
  <si>
    <t xml:space="preserve">EUR</t>
  </si>
  <si>
    <t xml:space="preserve">Soglia sotto la quale, oggi, una ricarica non genera punti MLM (backfill ky_cards).</t>
  </si>
  <si>
    <t xml:space="preserve">Ricarica media per cliente attivo</t>
  </si>
  <si>
    <t xml:space="preserve">IPOTESI. Sostituire con il dato reale appena disponibile.</t>
  </si>
  <si>
    <t xml:space="preserve">% clienti attivi che ricaricano nel mese</t>
  </si>
  <si>
    <t xml:space="preserve">IPOTESI.</t>
  </si>
  <si>
    <t xml:space="preserve">Fee media di transazione incassata</t>
  </si>
  <si>
    <t xml:space="preserve">transaction_fees è configurabile ma i valori di produzione non sono noti. Impostato a 0 in via prudenziale.</t>
  </si>
  <si>
    <t xml:space="preserve">PIANO COMPENSI (verificato nel codice)</t>
  </si>
  <si>
    <t xml:space="preserve">% diretta — agente nuovo (12 punti)</t>
  </si>
  <si>
    <t xml:space="preserve">MlmCommissionEngine::DIRECT_TABLE</t>
  </si>
  <si>
    <t xml:space="preserve">% diretta — agente medio (48 punti)</t>
  </si>
  <si>
    <t xml:space="preserve">idem</t>
  </si>
  <si>
    <t xml:space="preserve">% diretta — agente maturo (200 punti)</t>
  </si>
  <si>
    <t xml:space="preserve">% indirette L1-L5 sommate</t>
  </si>
  <si>
    <t xml:space="preserve">4% + 2% + 1% + 0,5% + 8% = 15,5%. INDIRECT_PERCENTAGES.</t>
  </si>
  <si>
    <t xml:space="preserve">% indiretta oltre il L5 (per livello)</t>
  </si>
  <si>
    <t xml:space="preserve">Solo Top/SuperVisor/Manager.</t>
  </si>
  <si>
    <t xml:space="preserve">Costo massimo per evento BasiQ</t>
  </si>
  <si>
    <t xml:space="preserve">Tetto strutturale: la somma dei payout di una catena è pari all'importo del grado più alto (Manager 200 €). MlmBonusService.</t>
  </si>
  <si>
    <t xml:space="preserve">Extra Bonus — Senior</t>
  </si>
  <si>
    <t xml:space="preserve">MlmAwardService, una tantum alla prima promozione.</t>
  </si>
  <si>
    <t xml:space="preserve">Extra Bonus — Top</t>
  </si>
  <si>
    <t xml:space="preserve">Extra Bonus — SuperVisor</t>
  </si>
  <si>
    <t xml:space="preserve">Extra Bonus — Manager</t>
  </si>
  <si>
    <t xml:space="preserve">Bonus Diretti KNM</t>
  </si>
  <si>
    <t xml:space="preserve">DISATTIVATI il 14/08/2026 (mlm_direct_bonuses_enabled default false).</t>
  </si>
  <si>
    <t xml:space="preserve">GATE BASIQ (da decidere — D3)</t>
  </si>
  <si>
    <t xml:space="preserve">Punti da ricarica richiesti per BasiQ</t>
  </si>
  <si>
    <t xml:space="preserve">n.</t>
  </si>
  <si>
    <t xml:space="preserve">OGGI: 0 (nessun gate). Proposta P0-2. Con card da 120 € = 2 punti, 6 punti = 3 ricariche.</t>
  </si>
  <si>
    <t xml:space="preserve">Punti generati da una card da 120 €</t>
  </si>
  <si>
    <t xml:space="preserve">ky_cards.mlm_points, backfill iniziale.</t>
  </si>
  <si>
    <t xml:space="preserve">COSTI OPERATIVI</t>
  </si>
  <si>
    <t xml:space="preserve">Costo piattaforma / mese</t>
  </si>
  <si>
    <t xml:space="preserve">IPOTESI: hosting, servizi, gateway.</t>
  </si>
  <si>
    <t xml:space="preserve">Costo marketing / mese</t>
  </si>
  <si>
    <t xml:space="preserve">IPOTESI: materiali, eventi, stampe.</t>
  </si>
  <si>
    <t xml:space="preserve">Costo per agente in rete / mese</t>
  </si>
  <si>
    <t xml:space="preserve">IPOTESI: supporto, materiali, formazione.</t>
  </si>
  <si>
    <t xml:space="preserve">CIRCOLARITÀ E RISERVA</t>
  </si>
  <si>
    <t xml:space="preserve">% di Ky spesi presso esercenti</t>
  </si>
  <si>
    <t xml:space="preserve">IPOTESI. È il parametro più importante di tutto il modello: misura se il circuito respira.</t>
  </si>
  <si>
    <t xml:space="preserve">% del margine accantonata a riserva Ky</t>
  </si>
  <si>
    <t xml:space="preserve">RACCOMANDAZIONE.</t>
  </si>
  <si>
    <t xml:space="preserve">% del margine accantonata a riserva payout</t>
  </si>
  <si>
    <t xml:space="preserve">La matematica del bonus del 25%</t>
  </si>
  <si>
    <t xml:space="preserve">Il bonus del 25% sulla ricarica NON è uno sconto del 25% sullo scontrino.</t>
  </si>
  <si>
    <t xml:space="preserve">FORMULA</t>
  </si>
  <si>
    <t xml:space="preserve">Sconto implicito sui Ky</t>
  </si>
  <si>
    <t xml:space="preserve">formula:  1 − 1/(1+b)</t>
  </si>
  <si>
    <t xml:space="preserve">Sconto effettivo sullo scontrino</t>
  </si>
  <si>
    <t xml:space="preserve">formula:  quota accettata in Ky × sconto implicito</t>
  </si>
  <si>
    <t xml:space="preserve">Quota accettata in Ky dall'esercente</t>
  </si>
  <si>
    <t xml:space="preserve">Su 100 € di spesa: pagati in Ky</t>
  </si>
  <si>
    <t xml:space="preserve">Su 100 € di spesa: pagati in EUR</t>
  </si>
  <si>
    <t xml:space="preserve">Costo reale dei Ky usati (EUR)</t>
  </si>
  <si>
    <t xml:space="preserve">Esborso totale del cliente</t>
  </si>
  <si>
    <t xml:space="preserve">Risparmio</t>
  </si>
  <si>
    <t xml:space="preserve">Sconto effettivo</t>
  </si>
  <si>
    <t xml:space="preserve">COME SI DICE, COME NON SI DICE</t>
  </si>
  <si>
    <t xml:space="preserve">NO</t>
  </si>
  <si>
    <t xml:space="preserve">"25% di sconto su tutto" — falso: non esiste alcuno scenario in cui il cliente risparmi il 25%.</t>
  </si>
  <si>
    <t xml:space="preserve">"Risparmi un quarto" — stessa cosa detta diversamente.</t>
  </si>
  <si>
    <t xml:space="preserve">SI</t>
  </si>
  <si>
    <t xml:space="preserve">"Ricarichi 100 €, ne hai 125 da spendere. Sullo scontrino risparmi dal 5% al 20% a seconda di quanto quel negozio accetta in KMoney."</t>
  </si>
  <si>
    <t xml:space="preserve">"Su ogni negozio trovi scritta la percentuale, prima di entrare."</t>
  </si>
  <si>
    <t xml:space="preserve">Margine KMoney per singola ricarica</t>
  </si>
  <si>
    <t xml:space="preserve">Quanto resta a KMoney dopo aver pagato le commissioni dell'intera catena.</t>
  </si>
  <si>
    <t xml:space="preserve">Scenario</t>
  </si>
  <si>
    <t xml:space="preserve">Ricarica</t>
  </si>
  <si>
    <t xml:space="preserve">Prov K (base commissioni)</t>
  </si>
  <si>
    <t xml:space="preserve">% diretta</t>
  </si>
  <si>
    <t xml:space="preserve">% indiretta</t>
  </si>
  <si>
    <t xml:space="preserve">Commissioni totali</t>
  </si>
  <si>
    <t xml:space="preserve">Margine residuo</t>
  </si>
  <si>
    <t xml:space="preserve">% su ricarica</t>
  </si>
  <si>
    <t xml:space="preserve">Agente nuovo (12 pt), nessuna downline</t>
  </si>
  <si>
    <t xml:space="preserve">Agente medio (48 pt), 1 livello indiretto attivo</t>
  </si>
  <si>
    <t xml:space="preserve">Agente maturo (200 pt), 5 livelli indiretti pieni</t>
  </si>
  <si>
    <t xml:space="preserve">Come sopra + 10 livelli estesi (Top+)</t>
  </si>
  <si>
    <t xml:space="preserve">TETTO DI SICUREZZA RACCOMANDATO (P0-3a)</t>
  </si>
  <si>
    <t xml:space="preserve">Cap sulle commissioni per riga di Prov K</t>
  </si>
  <si>
    <t xml:space="preserve">Livelli estesi (Top+) necessari per superare il 100% di Prov K</t>
  </si>
  <si>
    <t xml:space="preserve">Oggi implausibile, ma non impossibile per costruzione: il motore non ha alcun tetto.</t>
  </si>
  <si>
    <t xml:space="preserve">Compenso reale dell'agente</t>
  </si>
  <si>
    <t xml:space="preserve">Solo commissioni dirette. La base commissionabile è la RICARICA, pagata una sola volta per ricarica.</t>
  </si>
  <si>
    <t xml:space="preserve">Scenario di portafoglio</t>
  </si>
  <si>
    <t xml:space="preserve">N. clienti che ricaricano</t>
  </si>
  <si>
    <t xml:space="preserve">Ricarica media</t>
  </si>
  <si>
    <t xml:space="preserve">Volume mensile</t>
  </si>
  <si>
    <t xml:space="preserve">Prov K</t>
  </si>
  <si>
    <t xml:space="preserve">Commissione diretta / mese</t>
  </si>
  <si>
    <t xml:space="preserve">Nota</t>
  </si>
  <si>
    <t xml:space="preserve">Avvio</t>
  </si>
  <si>
    <t xml:space="preserve">Primo mese operativo.</t>
  </si>
  <si>
    <t xml:space="preserve">Consolidamento</t>
  </si>
  <si>
    <t xml:space="preserve">Corrisponde grosso modo al 3°-4° mese dello scenario realistico.</t>
  </si>
  <si>
    <t xml:space="preserve">Maturità</t>
  </si>
  <si>
    <t xml:space="preserve">Richiede ~96 punti attivi: sostenibile solo con ricariche ricorrenti.</t>
  </si>
  <si>
    <t xml:space="preserve">Maturità alta</t>
  </si>
  <si>
    <t xml:space="preserve">Richiede 200 punti attivi. Pochi agenti ci arrivano.</t>
  </si>
  <si>
    <t xml:space="preserve">AVVERTENZA DA RIPETERE A OGNI CANDIDATO AGENTE</t>
  </si>
  <si>
    <t xml:space="preserve">Questi importi presuppongono che OGNI cliente ricarichi OGNI mese. La base commissionabile è la singola ricarica, pagata una sola volta (MlmPointsService::createCommissionBaseEntry, decisione del 22/07/2026). Un cliente che ricarica una volta e poi smette genera commissione una volta sola. Non esiste rendita.</t>
  </si>
  <si>
    <t xml:space="preserve">Proiezione a 12 mesi — scenario realistico</t>
  </si>
  <si>
    <t xml:space="preserve">Clienti attivi ed esercenti sono IPOTESI (celle blu). Tutto il resto si calcola.</t>
  </si>
  <si>
    <t xml:space="preserve">Mese</t>
  </si>
  <si>
    <t xml:space="preserve">Clienti attivi</t>
  </si>
  <si>
    <t xml:space="preserve">Esercenti</t>
  </si>
  <si>
    <t xml:space="preserve">Agenti in rete</t>
  </si>
  <si>
    <t xml:space="preserve">Volume ricariche</t>
  </si>
  <si>
    <t xml:space="preserve">Commissioni</t>
  </si>
  <si>
    <t xml:space="preserve">Bonus struttura</t>
  </si>
  <si>
    <t xml:space="preserve">Extra Bonus</t>
  </si>
  <si>
    <t xml:space="preserve">Costi fissi</t>
  </si>
  <si>
    <t xml:space="preserve">Margine netto</t>
  </si>
  <si>
    <t xml:space="preserve">TOT</t>
  </si>
  <si>
    <t xml:space="preserve">Mese di break-even</t>
  </si>
  <si>
    <t xml:space="preserve">Margine cumulato a 12 mesi</t>
  </si>
  <si>
    <t xml:space="preserve">Rapporto commissioni : bonus</t>
  </si>
  <si>
    <t xml:space="preserve">Target raccomandato: ≥ 3,00x. Sotto 1,5x l'incentivo primario si avvicina al reclutamento (art. 5 L.173/2005).</t>
  </si>
  <si>
    <t xml:space="preserve">Esposizione in Ky e riserva di cassa</t>
  </si>
  <si>
    <t xml:space="preserve">I Ky oggi non hanno scadenza e non sono segregati: la passività è permanente e cumulativa.</t>
  </si>
  <si>
    <t xml:space="preserve">Volume ricariche a 12 mesi (EUR incassati)</t>
  </si>
  <si>
    <t xml:space="preserve">Somma della proiezione.</t>
  </si>
  <si>
    <t xml:space="preserve">Ky emessi a fronte delle ricariche</t>
  </si>
  <si>
    <t xml:space="preserve">Base + bonus.</t>
  </si>
  <si>
    <t xml:space="preserve">di cui Ky promozionali (il bonus)</t>
  </si>
  <si>
    <t xml:space="preserve">OGGI NON SEPARABILI NEL DATABASE: serve l'intervento P0-1.</t>
  </si>
  <si>
    <t xml:space="preserve">Copertura in euro di ogni Ky emesso</t>
  </si>
  <si>
    <t xml:space="preserve">Pari a 1/(1+b). Ogni Ky in circolo è coperto per questa quota da euro realmente incassati.</t>
  </si>
  <si>
    <t xml:space="preserve">Ky spesi presso esercenti</t>
  </si>
  <si>
    <t xml:space="preserve">Dipende dalla circolarità del circuito: è il parametro più critico.</t>
  </si>
  <si>
    <t xml:space="preserve">Ky fermi nei wallet dei clienti (passività)</t>
  </si>
  <si>
    <t xml:space="preserve">Cresce ogni mese se la spesa non tiene il passo dell'emissione.</t>
  </si>
  <si>
    <t xml:space="preserve">RISERVA RACCOMANDATA</t>
  </si>
  <si>
    <t xml:space="preserve">Prov K generato a 12 mesi</t>
  </si>
  <si>
    <t xml:space="preserve">Dalla proiezione.</t>
  </si>
  <si>
    <t xml:space="preserve">Riserva a copertura dei Ky in circolo</t>
  </si>
  <si>
    <t xml:space="preserve">% del margine accantonata.</t>
  </si>
  <si>
    <t xml:space="preserve">Riserva per i payout MLM</t>
  </si>
  <si>
    <t xml:space="preserve">Deve arrivare a coprire il massimo Extra Bonus attivabile nel semestre.</t>
  </si>
  <si>
    <t xml:space="preserve">Massimo Extra Bonus teorico (Manager)</t>
  </si>
  <si>
    <t xml:space="preserve">Se un agente è vicino a Manager, la riserva payout deve raggiungere questa cifra.</t>
  </si>
  <si>
    <t xml:space="preserve">Riserva payout sufficiente?</t>
  </si>
  <si>
    <t xml:space="preserve">Controllo automatico.</t>
  </si>
  <si>
    <t xml:space="preserve">Quanto deve costare un evento BasiQ</t>
  </si>
  <si>
    <t xml:space="preserve">Decisione D3: quanti punti da ricarica richiedere perché l'evento si ripaghi.</t>
  </si>
  <si>
    <t xml:space="preserve">Costo massimo di un evento BasiQ</t>
  </si>
  <si>
    <t xml:space="preserve">Tetto strutturale verificato: la somma dei payout di una catena è pari all'importo del grado più alto presente (Manager, 200 €).</t>
  </si>
  <si>
    <t xml:space="preserve">Margine KNM sulle ricariche</t>
  </si>
  <si>
    <t xml:space="preserve">Prov K.</t>
  </si>
  <si>
    <t xml:space="preserve">Ricariche necessarie per coprire l'evento</t>
  </si>
  <si>
    <t xml:space="preserve">Volume di ricariche che genera esattamente 200 € di Prov K.</t>
  </si>
  <si>
    <t xml:space="preserve">CON IL GATE PROPOSTO (P0-2)</t>
  </si>
  <si>
    <t xml:space="preserve">Punti da ricarica richiesti</t>
  </si>
  <si>
    <t xml:space="preserve">Parametro proposto. OGGI il gate NON esiste: BasiQ scatta con 12 punti di qualunque origine.</t>
  </si>
  <si>
    <t xml:space="preserve">Punti per card da 120 €</t>
  </si>
  <si>
    <t xml:space="preserve">ky_cards.mlm_points.</t>
  </si>
  <si>
    <t xml:space="preserve">Ricariche minime richieste (n.)</t>
  </si>
  <si>
    <t xml:space="preserve">Volume minimo generato</t>
  </si>
  <si>
    <t xml:space="preserve">Prov K generato</t>
  </si>
  <si>
    <t xml:space="preserve">Copertura del costo dell'evento</t>
  </si>
  <si>
    <t xml:space="preserve">Se sotto il 100%, ogni evento BasiQ è finanziato solo in parte dal fatturato che lo ha generato.</t>
  </si>
  <si>
    <t xml:space="preserve">Punti da ricarica per copertura al 100%</t>
  </si>
  <si>
    <t xml:space="preserve">Valore da impostare nel parametro se vuoi che il piano si autofinanzi evento per evento.</t>
  </si>
  <si>
    <t xml:space="preserve">Stress test: 6 mesi senza nuovi agenti</t>
  </si>
  <si>
    <t xml:space="preserve">Mesi 7-12 della proiezione, con zero nuovi ingressi in rete.</t>
  </si>
  <si>
    <t xml:space="preserve">Voce</t>
  </si>
  <si>
    <t xml:space="preserve">Con nuovi agenti</t>
  </si>
  <si>
    <t xml:space="preserve">Senza nuovi agenti</t>
  </si>
  <si>
    <t xml:space="preserve">Differenza</t>
  </si>
  <si>
    <t xml:space="preserve">Perché</t>
  </si>
  <si>
    <t xml:space="preserve">Prov K (ricavo)</t>
  </si>
  <si>
    <t xml:space="preserve">Le ricariche continuano, ma la rete cresce più lentamente (2 agenti invece di 3). La riduzione dell'18% è un'IPOTESI.</t>
  </si>
  <si>
    <t xml:space="preserve">Scendono in proporzione al minor volume.</t>
  </si>
  <si>
    <t xml:space="preserve">Bonus di struttura</t>
  </si>
  <si>
    <t xml:space="preserve">0</t>
  </si>
  <si>
    <t xml:space="preserve">AZZERATI: scattano solo su eventi BasiQ, che richiedono nuovi agenti entro 30 giorni dall'attivazione.</t>
  </si>
  <si>
    <t xml:space="preserve">Quasi azzerati: le qualifiche richiedono Basic al 1° livello e colonne, che senza nuovi ingressi non si formano.</t>
  </si>
  <si>
    <t xml:space="preserve">Meno agenti in rete da supportare.</t>
  </si>
  <si>
    <t xml:space="preserve">MARGINE NETTO (6 mesi)</t>
  </si>
  <si>
    <t xml:space="preserve">Se la differenza è positiva, KMoney sta MEGLIO senza nuovi agenti.</t>
  </si>
  <si>
    <t xml:space="preserve">Verdetto automatico</t>
  </si>
  <si>
    <t xml:space="preserve">MA ATTENZIONE — il punto che conta davvero</t>
  </si>
  <si>
    <t xml:space="preserve">Il modello aziendale regge, ma il REDDITO DELL'AGENTE crolla: perde l'intera componente bonus. Questo è esattamente il test dell'art. 5 c.1 L. 173/2005: se il guadagno crolla quando smetti di reclutare, l'incentivo primario è il reclutamento. La risposta non è legale ma di prodotto: introdurre una commissione ricorrente sulle transazioni dei clienti presso gli esercenti (intervento P0-3b), così il reddito cresce con l'USO e non con gli ingressi in rete.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</si>
</sst>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€#,##0;&quot;(€&quot;#,##0\);\-"/>
    <numFmt numFmtId="167" formatCode="\€#,##0.00;&quot;(€&quot;#,##0.00\);\-"/>
    <numFmt numFmtId="168" formatCode="#,##0"/>
    <numFmt numFmtId="169" formatCode="0.00\x"/>
    <numFmt numFmtId="170" formatCode="#,##0&quot; Ky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E7"/>
        <bgColor rgb="FFEDF2FA"/>
      </patternFill>
    </fill>
    <fill>
      <patternFill patternType="solid">
        <fgColor rgb="FF1F3864"/>
        <bgColor rgb="FF333333"/>
      </patternFill>
    </fill>
    <fill>
      <patternFill patternType="solid">
        <fgColor rgb="FFEDF2FA"/>
        <bgColor rgb="FFFDE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E7"/>
      <rgbColor rgb="FFEDF2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3" t="s">
        <v>2</v>
      </c>
      <c r="B5" s="4"/>
    </row>
    <row r="6" customFormat="false" ht="15" hidden="false" customHeight="false" outlineLevel="0" collapsed="false">
      <c r="A6" s="5" t="s">
        <v>3</v>
      </c>
      <c r="B6" s="4" t="s">
        <v>4</v>
      </c>
    </row>
    <row r="7" customFormat="false" ht="15" hidden="false" customHeight="false" outlineLevel="0" collapsed="false">
      <c r="A7" s="6" t="s">
        <v>5</v>
      </c>
      <c r="B7" s="4" t="s">
        <v>6</v>
      </c>
    </row>
    <row r="8" customFormat="false" ht="15" hidden="false" customHeight="false" outlineLevel="0" collapsed="false">
      <c r="A8" s="7" t="s">
        <v>7</v>
      </c>
      <c r="B8" s="4" t="s">
        <v>8</v>
      </c>
    </row>
    <row r="9" customFormat="false" ht="15" hidden="false" customHeight="false" outlineLevel="0" collapsed="false">
      <c r="A9" s="8" t="s">
        <v>9</v>
      </c>
      <c r="B9" s="4" t="s">
        <v>10</v>
      </c>
    </row>
    <row r="10" customFormat="false" ht="15" hidden="false" customHeight="false" outlineLevel="0" collapsed="false">
      <c r="A10" s="9" t="s">
        <v>11</v>
      </c>
      <c r="B10" s="4" t="s">
        <v>12</v>
      </c>
    </row>
    <row r="11" customFormat="false" ht="15" hidden="false" customHeight="false" outlineLevel="0" collapsed="false">
      <c r="A11" s="3"/>
      <c r="B11" s="4"/>
    </row>
    <row r="12" customFormat="false" ht="15" hidden="false" customHeight="false" outlineLevel="0" collapsed="false">
      <c r="A12" s="3" t="s">
        <v>13</v>
      </c>
      <c r="B12" s="4"/>
    </row>
    <row r="13" customFormat="false" ht="15" hidden="false" customHeight="false" outlineLevel="0" collapsed="false">
      <c r="A13" s="6" t="s">
        <v>14</v>
      </c>
      <c r="B13" s="4" t="s">
        <v>15</v>
      </c>
    </row>
    <row r="14" customFormat="false" ht="15" hidden="false" customHeight="false" outlineLevel="0" collapsed="false">
      <c r="A14" s="6" t="s">
        <v>16</v>
      </c>
      <c r="B14" s="4" t="s">
        <v>17</v>
      </c>
    </row>
    <row r="15" customFormat="false" ht="15" hidden="false" customHeight="false" outlineLevel="0" collapsed="false">
      <c r="A15" s="6" t="s">
        <v>18</v>
      </c>
      <c r="B15" s="4" t="s">
        <v>19</v>
      </c>
    </row>
    <row r="16" customFormat="false" ht="15" hidden="false" customHeight="false" outlineLevel="0" collapsed="false">
      <c r="A16" s="6" t="s">
        <v>20</v>
      </c>
      <c r="B16" s="4" t="s">
        <v>21</v>
      </c>
    </row>
    <row r="17" customFormat="false" ht="15" hidden="false" customHeight="false" outlineLevel="0" collapsed="false">
      <c r="A17" s="6" t="s">
        <v>22</v>
      </c>
      <c r="B17" s="4" t="s">
        <v>23</v>
      </c>
    </row>
    <row r="18" customFormat="false" ht="15" hidden="false" customHeight="false" outlineLevel="0" collapsed="false">
      <c r="A18" s="6" t="s">
        <v>24</v>
      </c>
      <c r="B18" s="4" t="s">
        <v>25</v>
      </c>
    </row>
    <row r="19" customFormat="false" ht="15" hidden="false" customHeight="false" outlineLevel="0" collapsed="false">
      <c r="A19" s="6" t="s">
        <v>26</v>
      </c>
      <c r="B19" s="4" t="s">
        <v>27</v>
      </c>
    </row>
    <row r="20" customFormat="false" ht="15" hidden="false" customHeight="false" outlineLevel="0" collapsed="false">
      <c r="A20" s="6" t="s">
        <v>28</v>
      </c>
      <c r="B20" s="4" t="s">
        <v>29</v>
      </c>
    </row>
    <row r="21" customFormat="false" ht="15" hidden="false" customHeight="false" outlineLevel="0" collapsed="false">
      <c r="A21" s="3"/>
      <c r="B21" s="4"/>
    </row>
    <row r="22" customFormat="false" ht="15" hidden="false" customHeight="false" outlineLevel="0" collapsed="false">
      <c r="A22" s="3" t="s">
        <v>30</v>
      </c>
      <c r="B22" s="4"/>
    </row>
    <row r="23" customFormat="false" ht="35.05" hidden="false" customHeight="false" outlineLevel="0" collapsed="false">
      <c r="A23" s="6" t="s">
        <v>31</v>
      </c>
      <c r="B23" s="4" t="s">
        <v>32</v>
      </c>
    </row>
    <row r="24" customFormat="false" ht="23.85" hidden="false" customHeight="false" outlineLevel="0" collapsed="false">
      <c r="A24" s="6" t="s">
        <v>33</v>
      </c>
      <c r="B24" s="4" t="s">
        <v>34</v>
      </c>
    </row>
    <row r="25" customFormat="false" ht="23.85" hidden="false" customHeight="false" outlineLevel="0" collapsed="false">
      <c r="A25" s="6" t="s">
        <v>35</v>
      </c>
      <c r="B25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10" t="s">
        <v>39</v>
      </c>
      <c r="B4" s="10" t="s">
        <v>40</v>
      </c>
      <c r="C4" s="10" t="s">
        <v>41</v>
      </c>
      <c r="D4" s="10" t="s">
        <v>42</v>
      </c>
    </row>
    <row r="5" customFormat="false" ht="15" hidden="false" customHeight="false" outlineLevel="0" collapsed="false">
      <c r="A5" s="11" t="s">
        <v>43</v>
      </c>
      <c r="B5" s="12"/>
      <c r="C5" s="12"/>
      <c r="D5" s="12"/>
    </row>
    <row r="6" customFormat="false" ht="22.35" hidden="false" customHeight="false" outlineLevel="0" collapsed="false">
      <c r="A6" s="13" t="s">
        <v>44</v>
      </c>
      <c r="B6" s="14" t="n">
        <v>0.25</v>
      </c>
      <c r="C6" s="13" t="s">
        <v>45</v>
      </c>
      <c r="D6" s="15" t="s">
        <v>46</v>
      </c>
    </row>
    <row r="7" customFormat="false" ht="22.35" hidden="false" customHeight="false" outlineLevel="0" collapsed="false">
      <c r="A7" s="13" t="s">
        <v>47</v>
      </c>
      <c r="B7" s="14" t="n">
        <v>0.3</v>
      </c>
      <c r="C7" s="13" t="s">
        <v>45</v>
      </c>
      <c r="D7" s="15" t="s">
        <v>48</v>
      </c>
    </row>
    <row r="8" customFormat="false" ht="15" hidden="false" customHeight="false" outlineLevel="0" collapsed="false">
      <c r="A8" s="13" t="s">
        <v>49</v>
      </c>
      <c r="B8" s="16" t="n">
        <v>120</v>
      </c>
      <c r="C8" s="13" t="s">
        <v>50</v>
      </c>
      <c r="D8" s="15" t="s">
        <v>51</v>
      </c>
    </row>
    <row r="9" customFormat="false" ht="15" hidden="false" customHeight="false" outlineLevel="0" collapsed="false">
      <c r="A9" s="13" t="s">
        <v>52</v>
      </c>
      <c r="B9" s="17" t="n">
        <v>150</v>
      </c>
      <c r="C9" s="13" t="s">
        <v>50</v>
      </c>
      <c r="D9" s="15" t="s">
        <v>53</v>
      </c>
    </row>
    <row r="10" customFormat="false" ht="15" hidden="false" customHeight="false" outlineLevel="0" collapsed="false">
      <c r="A10" s="13" t="s">
        <v>54</v>
      </c>
      <c r="B10" s="14" t="n">
        <v>0.6</v>
      </c>
      <c r="C10" s="13" t="s">
        <v>45</v>
      </c>
      <c r="D10" s="15" t="s">
        <v>55</v>
      </c>
    </row>
    <row r="11" customFormat="false" ht="22.35" hidden="false" customHeight="false" outlineLevel="0" collapsed="false">
      <c r="A11" s="13" t="s">
        <v>56</v>
      </c>
      <c r="B11" s="18" t="n">
        <v>0</v>
      </c>
      <c r="C11" s="13" t="s">
        <v>50</v>
      </c>
      <c r="D11" s="15" t="s">
        <v>57</v>
      </c>
    </row>
    <row r="13" customFormat="false" ht="15" hidden="false" customHeight="false" outlineLevel="0" collapsed="false">
      <c r="A13" s="11" t="s">
        <v>58</v>
      </c>
      <c r="B13" s="12"/>
      <c r="C13" s="12"/>
      <c r="D13" s="12"/>
    </row>
    <row r="14" customFormat="false" ht="15" hidden="false" customHeight="false" outlineLevel="0" collapsed="false">
      <c r="A14" s="13" t="s">
        <v>59</v>
      </c>
      <c r="B14" s="19" t="n">
        <v>0.1</v>
      </c>
      <c r="C14" s="13" t="s">
        <v>45</v>
      </c>
      <c r="D14" s="15" t="s">
        <v>60</v>
      </c>
    </row>
    <row r="15" customFormat="false" ht="15" hidden="false" customHeight="false" outlineLevel="0" collapsed="false">
      <c r="A15" s="13" t="s">
        <v>61</v>
      </c>
      <c r="B15" s="19" t="n">
        <v>0.2</v>
      </c>
      <c r="C15" s="13" t="s">
        <v>45</v>
      </c>
      <c r="D15" s="15" t="s">
        <v>62</v>
      </c>
    </row>
    <row r="16" customFormat="false" ht="15" hidden="false" customHeight="false" outlineLevel="0" collapsed="false">
      <c r="A16" s="13" t="s">
        <v>63</v>
      </c>
      <c r="B16" s="19" t="n">
        <v>0.4</v>
      </c>
      <c r="C16" s="13" t="s">
        <v>45</v>
      </c>
      <c r="D16" s="15" t="s">
        <v>62</v>
      </c>
    </row>
    <row r="17" customFormat="false" ht="15" hidden="false" customHeight="false" outlineLevel="0" collapsed="false">
      <c r="A17" s="13" t="s">
        <v>64</v>
      </c>
      <c r="B17" s="19" t="n">
        <v>0.155</v>
      </c>
      <c r="C17" s="13" t="s">
        <v>45</v>
      </c>
      <c r="D17" s="15" t="s">
        <v>65</v>
      </c>
    </row>
    <row r="18" customFormat="false" ht="15" hidden="false" customHeight="false" outlineLevel="0" collapsed="false">
      <c r="A18" s="13" t="s">
        <v>66</v>
      </c>
      <c r="B18" s="19" t="n">
        <v>0.005</v>
      </c>
      <c r="C18" s="13" t="s">
        <v>45</v>
      </c>
      <c r="D18" s="15" t="s">
        <v>67</v>
      </c>
    </row>
    <row r="19" customFormat="false" ht="22.35" hidden="false" customHeight="false" outlineLevel="0" collapsed="false">
      <c r="A19" s="13" t="s">
        <v>68</v>
      </c>
      <c r="B19" s="16" t="n">
        <v>200</v>
      </c>
      <c r="C19" s="13" t="s">
        <v>50</v>
      </c>
      <c r="D19" s="15" t="s">
        <v>69</v>
      </c>
    </row>
    <row r="20" customFormat="false" ht="15" hidden="false" customHeight="false" outlineLevel="0" collapsed="false">
      <c r="A20" s="13" t="s">
        <v>70</v>
      </c>
      <c r="B20" s="16" t="n">
        <v>300</v>
      </c>
      <c r="C20" s="13" t="s">
        <v>50</v>
      </c>
      <c r="D20" s="15" t="s">
        <v>71</v>
      </c>
    </row>
    <row r="21" customFormat="false" ht="15" hidden="false" customHeight="false" outlineLevel="0" collapsed="false">
      <c r="A21" s="13" t="s">
        <v>72</v>
      </c>
      <c r="B21" s="16" t="n">
        <v>3000</v>
      </c>
      <c r="C21" s="13" t="s">
        <v>50</v>
      </c>
      <c r="D21" s="15" t="s">
        <v>62</v>
      </c>
    </row>
    <row r="22" customFormat="false" ht="15" hidden="false" customHeight="false" outlineLevel="0" collapsed="false">
      <c r="A22" s="13" t="s">
        <v>73</v>
      </c>
      <c r="B22" s="16" t="n">
        <v>5000</v>
      </c>
      <c r="C22" s="13" t="s">
        <v>50</v>
      </c>
      <c r="D22" s="15" t="s">
        <v>62</v>
      </c>
    </row>
    <row r="23" customFormat="false" ht="15" hidden="false" customHeight="false" outlineLevel="0" collapsed="false">
      <c r="A23" s="13" t="s">
        <v>74</v>
      </c>
      <c r="B23" s="16" t="n">
        <v>20000</v>
      </c>
      <c r="C23" s="13" t="s">
        <v>50</v>
      </c>
      <c r="D23" s="15" t="s">
        <v>62</v>
      </c>
    </row>
    <row r="24" customFormat="false" ht="15" hidden="false" customHeight="false" outlineLevel="0" collapsed="false">
      <c r="A24" s="13" t="s">
        <v>75</v>
      </c>
      <c r="B24" s="16" t="n">
        <v>0</v>
      </c>
      <c r="C24" s="13" t="s">
        <v>50</v>
      </c>
      <c r="D24" s="15" t="s">
        <v>76</v>
      </c>
    </row>
    <row r="26" customFormat="false" ht="15" hidden="false" customHeight="false" outlineLevel="0" collapsed="false">
      <c r="A26" s="11" t="s">
        <v>77</v>
      </c>
      <c r="B26" s="12"/>
      <c r="C26" s="12"/>
      <c r="D26" s="12"/>
    </row>
    <row r="27" customFormat="false" ht="15" hidden="false" customHeight="false" outlineLevel="0" collapsed="false">
      <c r="A27" s="13" t="s">
        <v>78</v>
      </c>
      <c r="B27" s="20" t="n">
        <v>6</v>
      </c>
      <c r="C27" s="13" t="s">
        <v>79</v>
      </c>
      <c r="D27" s="15" t="s">
        <v>80</v>
      </c>
    </row>
    <row r="28" customFormat="false" ht="15" hidden="false" customHeight="false" outlineLevel="0" collapsed="false">
      <c r="A28" s="13" t="s">
        <v>81</v>
      </c>
      <c r="B28" s="21" t="n">
        <v>2</v>
      </c>
      <c r="C28" s="13" t="s">
        <v>79</v>
      </c>
      <c r="D28" s="15" t="s">
        <v>82</v>
      </c>
    </row>
    <row r="30" customFormat="false" ht="15" hidden="false" customHeight="false" outlineLevel="0" collapsed="false">
      <c r="A30" s="11" t="s">
        <v>83</v>
      </c>
      <c r="B30" s="12"/>
      <c r="C30" s="12"/>
      <c r="D30" s="12"/>
    </row>
    <row r="31" customFormat="false" ht="15" hidden="false" customHeight="false" outlineLevel="0" collapsed="false">
      <c r="A31" s="13" t="s">
        <v>84</v>
      </c>
      <c r="B31" s="17" t="n">
        <v>200</v>
      </c>
      <c r="C31" s="13" t="s">
        <v>50</v>
      </c>
      <c r="D31" s="15" t="s">
        <v>85</v>
      </c>
    </row>
    <row r="32" customFormat="false" ht="15" hidden="false" customHeight="false" outlineLevel="0" collapsed="false">
      <c r="A32" s="13" t="s">
        <v>86</v>
      </c>
      <c r="B32" s="17" t="n">
        <v>150</v>
      </c>
      <c r="C32" s="13" t="s">
        <v>50</v>
      </c>
      <c r="D32" s="15" t="s">
        <v>87</v>
      </c>
    </row>
    <row r="33" customFormat="false" ht="15" hidden="false" customHeight="false" outlineLevel="0" collapsed="false">
      <c r="A33" s="13" t="s">
        <v>88</v>
      </c>
      <c r="B33" s="17" t="n">
        <v>50</v>
      </c>
      <c r="C33" s="13" t="s">
        <v>50</v>
      </c>
      <c r="D33" s="15" t="s">
        <v>89</v>
      </c>
    </row>
    <row r="35" customFormat="false" ht="15" hidden="false" customHeight="false" outlineLevel="0" collapsed="false">
      <c r="A35" s="11" t="s">
        <v>90</v>
      </c>
      <c r="B35" s="12"/>
      <c r="C35" s="12"/>
      <c r="D35" s="12"/>
    </row>
    <row r="36" customFormat="false" ht="15" hidden="false" customHeight="false" outlineLevel="0" collapsed="false">
      <c r="A36" s="13" t="s">
        <v>91</v>
      </c>
      <c r="B36" s="14" t="n">
        <v>0.75</v>
      </c>
      <c r="C36" s="13" t="s">
        <v>45</v>
      </c>
      <c r="D36" s="15" t="s">
        <v>92</v>
      </c>
    </row>
    <row r="37" customFormat="false" ht="15" hidden="false" customHeight="false" outlineLevel="0" collapsed="false">
      <c r="A37" s="13" t="s">
        <v>93</v>
      </c>
      <c r="B37" s="14" t="n">
        <v>0.2</v>
      </c>
      <c r="C37" s="13" t="s">
        <v>45</v>
      </c>
      <c r="D37" s="15" t="s">
        <v>94</v>
      </c>
    </row>
    <row r="38" customFormat="false" ht="15" hidden="false" customHeight="false" outlineLevel="0" collapsed="false">
      <c r="A38" s="13" t="s">
        <v>95</v>
      </c>
      <c r="B38" s="14" t="n">
        <v>0.3</v>
      </c>
      <c r="C38" s="13" t="s">
        <v>45</v>
      </c>
      <c r="D38" s="15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8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15" hidden="false" customHeight="false" outlineLevel="0" collapsed="false">
      <c r="A4" s="3" t="s">
        <v>98</v>
      </c>
    </row>
    <row r="5" customFormat="false" ht="15" hidden="false" customHeight="false" outlineLevel="0" collapsed="false">
      <c r="A5" s="6" t="s">
        <v>99</v>
      </c>
      <c r="B5" s="22" t="n">
        <f aca="false">1-1/(1+Parametri!$B$6)</f>
        <v>0.2</v>
      </c>
      <c r="C5" s="2" t="s">
        <v>100</v>
      </c>
    </row>
    <row r="6" customFormat="false" ht="15" hidden="false" customHeight="false" outlineLevel="0" collapsed="false">
      <c r="A6" s="6" t="s">
        <v>101</v>
      </c>
      <c r="C6" s="2" t="s">
        <v>102</v>
      </c>
    </row>
    <row r="9" customFormat="false" ht="39.55" hidden="false" customHeight="false" outlineLevel="0" collapsed="false">
      <c r="A9" s="10" t="s">
        <v>103</v>
      </c>
      <c r="B9" s="10" t="s">
        <v>104</v>
      </c>
      <c r="C9" s="10" t="s">
        <v>105</v>
      </c>
      <c r="D9" s="10" t="s">
        <v>106</v>
      </c>
      <c r="E9" s="10" t="s">
        <v>107</v>
      </c>
      <c r="F9" s="10" t="s">
        <v>108</v>
      </c>
      <c r="G9" s="10" t="s">
        <v>109</v>
      </c>
    </row>
    <row r="10" customFormat="false" ht="15" hidden="false" customHeight="false" outlineLevel="0" collapsed="false">
      <c r="A10" s="23" t="n">
        <v>1</v>
      </c>
      <c r="B10" s="24" t="n">
        <f aca="false">100*A10</f>
        <v>100</v>
      </c>
      <c r="C10" s="24" t="n">
        <f aca="false">100-B10</f>
        <v>0</v>
      </c>
      <c r="D10" s="24" t="n">
        <f aca="false">B10/(1+Parametri!$B$6)</f>
        <v>80</v>
      </c>
      <c r="E10" s="24" t="n">
        <f aca="false">C10+D10</f>
        <v>80</v>
      </c>
      <c r="F10" s="24" t="n">
        <f aca="false">100-E10</f>
        <v>20</v>
      </c>
      <c r="G10" s="25" t="n">
        <f aca="false">F10/100</f>
        <v>0.2</v>
      </c>
    </row>
    <row r="11" customFormat="false" ht="15" hidden="false" customHeight="false" outlineLevel="0" collapsed="false">
      <c r="A11" s="23" t="n">
        <v>0.75</v>
      </c>
      <c r="B11" s="24" t="n">
        <f aca="false">100*A11</f>
        <v>75</v>
      </c>
      <c r="C11" s="24" t="n">
        <f aca="false">100-B11</f>
        <v>25</v>
      </c>
      <c r="D11" s="24" t="n">
        <f aca="false">B11/(1+Parametri!$B$6)</f>
        <v>60</v>
      </c>
      <c r="E11" s="24" t="n">
        <f aca="false">C11+D11</f>
        <v>85</v>
      </c>
      <c r="F11" s="24" t="n">
        <f aca="false">100-E11</f>
        <v>15</v>
      </c>
      <c r="G11" s="25" t="n">
        <f aca="false">F11/100</f>
        <v>0.15</v>
      </c>
    </row>
    <row r="12" customFormat="false" ht="15" hidden="false" customHeight="false" outlineLevel="0" collapsed="false">
      <c r="A12" s="23" t="n">
        <v>0.5</v>
      </c>
      <c r="B12" s="24" t="n">
        <f aca="false">100*A12</f>
        <v>50</v>
      </c>
      <c r="C12" s="24" t="n">
        <f aca="false">100-B12</f>
        <v>50</v>
      </c>
      <c r="D12" s="24" t="n">
        <f aca="false">B12/(1+Parametri!$B$6)</f>
        <v>40</v>
      </c>
      <c r="E12" s="24" t="n">
        <f aca="false">C12+D12</f>
        <v>90</v>
      </c>
      <c r="F12" s="24" t="n">
        <f aca="false">100-E12</f>
        <v>10</v>
      </c>
      <c r="G12" s="25" t="n">
        <f aca="false">F12/100</f>
        <v>0.1</v>
      </c>
    </row>
    <row r="13" customFormat="false" ht="15" hidden="false" customHeight="false" outlineLevel="0" collapsed="false">
      <c r="A13" s="23" t="n">
        <v>0.25</v>
      </c>
      <c r="B13" s="24" t="n">
        <f aca="false">100*A13</f>
        <v>25</v>
      </c>
      <c r="C13" s="24" t="n">
        <f aca="false">100-B13</f>
        <v>75</v>
      </c>
      <c r="D13" s="24" t="n">
        <f aca="false">B13/(1+Parametri!$B$6)</f>
        <v>20</v>
      </c>
      <c r="E13" s="24" t="n">
        <f aca="false">C13+D13</f>
        <v>95</v>
      </c>
      <c r="F13" s="24" t="n">
        <f aca="false">100-E13</f>
        <v>5</v>
      </c>
      <c r="G13" s="25" t="n">
        <f aca="false">F13/100</f>
        <v>0.05</v>
      </c>
    </row>
    <row r="14" customFormat="false" ht="15" hidden="false" customHeight="false" outlineLevel="0" collapsed="false">
      <c r="A14" s="23" t="n">
        <v>0</v>
      </c>
      <c r="B14" s="24" t="n">
        <f aca="false">100*A14</f>
        <v>0</v>
      </c>
      <c r="C14" s="24" t="n">
        <f aca="false">100-B14</f>
        <v>100</v>
      </c>
      <c r="D14" s="24" t="n">
        <f aca="false">B14/(1+Parametri!$B$6)</f>
        <v>0</v>
      </c>
      <c r="E14" s="24" t="n">
        <f aca="false">C14+D14</f>
        <v>100</v>
      </c>
      <c r="F14" s="24" t="n">
        <f aca="false">100-E14</f>
        <v>0</v>
      </c>
      <c r="G14" s="25" t="n">
        <f aca="false">F14/100</f>
        <v>0</v>
      </c>
    </row>
    <row r="17" customFormat="false" ht="15" hidden="false" customHeight="false" outlineLevel="0" collapsed="false">
      <c r="A17" s="3" t="s">
        <v>110</v>
      </c>
    </row>
    <row r="18" customFormat="false" ht="68.65" hidden="false" customHeight="false" outlineLevel="0" collapsed="false">
      <c r="A18" s="26" t="s">
        <v>111</v>
      </c>
      <c r="B18" s="27" t="s">
        <v>112</v>
      </c>
    </row>
    <row r="19" customFormat="false" ht="35.05" hidden="false" customHeight="false" outlineLevel="0" collapsed="false">
      <c r="A19" s="26" t="s">
        <v>111</v>
      </c>
      <c r="B19" s="27" t="s">
        <v>113</v>
      </c>
    </row>
    <row r="20" customFormat="false" ht="79.85" hidden="false" customHeight="false" outlineLevel="0" collapsed="false">
      <c r="A20" s="28" t="s">
        <v>114</v>
      </c>
      <c r="B20" s="29" t="s">
        <v>115</v>
      </c>
    </row>
    <row r="21" customFormat="false" ht="46.25" hidden="false" customHeight="false" outlineLevel="0" collapsed="false">
      <c r="A21" s="28" t="s">
        <v>114</v>
      </c>
      <c r="B21" s="29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6"/>
    <col collapsed="false" customWidth="true" hidden="false" outlineLevel="0" max="7" min="6" style="0" width="18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26.85" hidden="false" customHeight="false" outlineLevel="0" collapsed="false">
      <c r="A4" s="10" t="s">
        <v>119</v>
      </c>
      <c r="B4" s="10" t="s">
        <v>120</v>
      </c>
      <c r="C4" s="10" t="s">
        <v>121</v>
      </c>
      <c r="D4" s="10" t="s">
        <v>122</v>
      </c>
      <c r="E4" s="10" t="s">
        <v>123</v>
      </c>
      <c r="F4" s="10" t="s">
        <v>124</v>
      </c>
      <c r="G4" s="10" t="s">
        <v>125</v>
      </c>
      <c r="H4" s="10" t="s">
        <v>126</v>
      </c>
    </row>
    <row r="5" customFormat="false" ht="15" hidden="false" customHeight="false" outlineLevel="0" collapsed="false">
      <c r="A5" s="13" t="s">
        <v>127</v>
      </c>
      <c r="B5" s="30" t="n">
        <f aca="false">Parametri!$B$8</f>
        <v>120</v>
      </c>
      <c r="C5" s="24" t="n">
        <f aca="false">B5*Parametri!$B$7</f>
        <v>36</v>
      </c>
      <c r="D5" s="31" t="n">
        <f aca="false">Parametri!$B$14</f>
        <v>0.1</v>
      </c>
      <c r="E5" s="31" t="n">
        <f aca="false">0</f>
        <v>0</v>
      </c>
      <c r="F5" s="32" t="n">
        <f aca="false">C5*(D5+E5)</f>
        <v>3.6</v>
      </c>
      <c r="G5" s="33" t="n">
        <f aca="false">C5-F5</f>
        <v>32.4</v>
      </c>
      <c r="H5" s="31" t="n">
        <f aca="false">G5/B5</f>
        <v>0.27</v>
      </c>
    </row>
    <row r="6" customFormat="false" ht="15" hidden="false" customHeight="false" outlineLevel="0" collapsed="false">
      <c r="A6" s="13" t="s">
        <v>128</v>
      </c>
      <c r="B6" s="30" t="n">
        <f aca="false">Parametri!$B$8</f>
        <v>120</v>
      </c>
      <c r="C6" s="24" t="n">
        <f aca="false">B6*Parametri!$B$7</f>
        <v>36</v>
      </c>
      <c r="D6" s="31" t="n">
        <f aca="false">Parametri!$B$15</f>
        <v>0.2</v>
      </c>
      <c r="E6" s="31" t="n">
        <f aca="false">0.04</f>
        <v>0.04</v>
      </c>
      <c r="F6" s="32" t="n">
        <f aca="false">C6*(D6+E6)</f>
        <v>8.64</v>
      </c>
      <c r="G6" s="33" t="n">
        <f aca="false">C6-F6</f>
        <v>27.36</v>
      </c>
      <c r="H6" s="31" t="n">
        <f aca="false">G6/B6</f>
        <v>0.228</v>
      </c>
    </row>
    <row r="7" customFormat="false" ht="15" hidden="false" customHeight="false" outlineLevel="0" collapsed="false">
      <c r="A7" s="13" t="s">
        <v>129</v>
      </c>
      <c r="B7" s="30" t="n">
        <f aca="false">Parametri!$B$8</f>
        <v>120</v>
      </c>
      <c r="C7" s="24" t="n">
        <f aca="false">B7*Parametri!$B$7</f>
        <v>36</v>
      </c>
      <c r="D7" s="31" t="n">
        <f aca="false">Parametri!$B$16</f>
        <v>0.4</v>
      </c>
      <c r="E7" s="31" t="n">
        <f aca="false">Parametri!$B$17</f>
        <v>0.155</v>
      </c>
      <c r="F7" s="32" t="n">
        <f aca="false">C7*(D7+E7)</f>
        <v>19.98</v>
      </c>
      <c r="G7" s="33" t="n">
        <f aca="false">C7-F7</f>
        <v>16.02</v>
      </c>
      <c r="H7" s="31" t="n">
        <f aca="false">G7/B7</f>
        <v>0.1335</v>
      </c>
    </row>
    <row r="8" customFormat="false" ht="15" hidden="false" customHeight="false" outlineLevel="0" collapsed="false">
      <c r="A8" s="13" t="s">
        <v>130</v>
      </c>
      <c r="B8" s="30" t="n">
        <f aca="false">Parametri!$B$8</f>
        <v>120</v>
      </c>
      <c r="C8" s="24" t="n">
        <f aca="false">B8*Parametri!$B$7</f>
        <v>36</v>
      </c>
      <c r="D8" s="31" t="n">
        <f aca="false">Parametri!$B$16</f>
        <v>0.4</v>
      </c>
      <c r="E8" s="31" t="n">
        <f aca="false">Parametri!$B$17+10*Parametri!$B$18</f>
        <v>0.205</v>
      </c>
      <c r="F8" s="32" t="n">
        <f aca="false">C8*(D8+E8)</f>
        <v>21.78</v>
      </c>
      <c r="G8" s="33" t="n">
        <f aca="false">C8-F8</f>
        <v>14.22</v>
      </c>
      <c r="H8" s="31" t="n">
        <f aca="false">G8/B8</f>
        <v>0.1185</v>
      </c>
    </row>
    <row r="11" customFormat="false" ht="15" hidden="false" customHeight="false" outlineLevel="0" collapsed="false">
      <c r="A11" s="3" t="s">
        <v>131</v>
      </c>
    </row>
    <row r="12" customFormat="false" ht="15" hidden="false" customHeight="false" outlineLevel="0" collapsed="false">
      <c r="A12" s="6" t="s">
        <v>132</v>
      </c>
      <c r="B12" s="34" t="n">
        <v>0.8</v>
      </c>
    </row>
    <row r="13" customFormat="false" ht="15" hidden="false" customHeight="false" outlineLevel="0" collapsed="false">
      <c r="A13" s="6" t="s">
        <v>133</v>
      </c>
      <c r="B13" s="35" t="n">
        <f aca="false">ROUNDUP((1-Parametri!$B$16-Parametri!$B$17)/Parametri!$B$18,0)</f>
        <v>89</v>
      </c>
      <c r="C13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4" customFormat="false" ht="26.85" hidden="false" customHeight="false" outlineLevel="0" collapsed="false">
      <c r="A4" s="10" t="s">
        <v>137</v>
      </c>
      <c r="B4" s="10" t="s">
        <v>138</v>
      </c>
      <c r="C4" s="10" t="s">
        <v>139</v>
      </c>
      <c r="D4" s="10" t="s">
        <v>140</v>
      </c>
      <c r="E4" s="10" t="s">
        <v>141</v>
      </c>
      <c r="F4" s="10" t="s">
        <v>122</v>
      </c>
      <c r="G4" s="10" t="s">
        <v>142</v>
      </c>
      <c r="H4" s="10" t="s">
        <v>143</v>
      </c>
    </row>
    <row r="5" customFormat="false" ht="15" hidden="false" customHeight="false" outlineLevel="0" collapsed="false">
      <c r="A5" s="13" t="s">
        <v>144</v>
      </c>
      <c r="B5" s="36" t="n">
        <v>5</v>
      </c>
      <c r="C5" s="30" t="n">
        <f aca="false">Parametri!$B$8</f>
        <v>120</v>
      </c>
      <c r="D5" s="24" t="n">
        <f aca="false">B5*C5</f>
        <v>600</v>
      </c>
      <c r="E5" s="24" t="n">
        <f aca="false">D5*Parametri!$B$7</f>
        <v>180</v>
      </c>
      <c r="F5" s="31" t="n">
        <f aca="false">Parametri!$B$14</f>
        <v>0.1</v>
      </c>
      <c r="G5" s="33" t="n">
        <f aca="false">E5*F5</f>
        <v>18</v>
      </c>
      <c r="H5" s="15" t="s">
        <v>145</v>
      </c>
    </row>
    <row r="6" customFormat="false" ht="15" hidden="false" customHeight="false" outlineLevel="0" collapsed="false">
      <c r="A6" s="13" t="s">
        <v>146</v>
      </c>
      <c r="B6" s="36" t="n">
        <v>20</v>
      </c>
      <c r="C6" s="30" t="n">
        <f aca="false">Parametri!$B$8</f>
        <v>120</v>
      </c>
      <c r="D6" s="24" t="n">
        <f aca="false">B6*C6</f>
        <v>2400</v>
      </c>
      <c r="E6" s="24" t="n">
        <f aca="false">D6*Parametri!$B$7</f>
        <v>720</v>
      </c>
      <c r="F6" s="31" t="n">
        <f aca="false">Parametri!$B$15</f>
        <v>0.2</v>
      </c>
      <c r="G6" s="33" t="n">
        <f aca="false">E6*F6</f>
        <v>144</v>
      </c>
      <c r="H6" s="15" t="s">
        <v>147</v>
      </c>
    </row>
    <row r="7" customFormat="false" ht="15" hidden="false" customHeight="false" outlineLevel="0" collapsed="false">
      <c r="A7" s="13" t="s">
        <v>148</v>
      </c>
      <c r="B7" s="36" t="n">
        <v>50</v>
      </c>
      <c r="C7" s="30" t="n">
        <f aca="false">Parametri!$B$8</f>
        <v>120</v>
      </c>
      <c r="D7" s="24" t="n">
        <f aca="false">B7*C7</f>
        <v>6000</v>
      </c>
      <c r="E7" s="24" t="n">
        <f aca="false">D7*Parametri!$B$7</f>
        <v>1800</v>
      </c>
      <c r="F7" s="31" t="n">
        <f aca="false">0.25</f>
        <v>0.25</v>
      </c>
      <c r="G7" s="33" t="n">
        <f aca="false">E7*F7</f>
        <v>450</v>
      </c>
      <c r="H7" s="15" t="s">
        <v>149</v>
      </c>
    </row>
    <row r="8" customFormat="false" ht="15" hidden="false" customHeight="false" outlineLevel="0" collapsed="false">
      <c r="A8" s="13" t="s">
        <v>150</v>
      </c>
      <c r="B8" s="36" t="n">
        <v>100</v>
      </c>
      <c r="C8" s="30" t="n">
        <f aca="false">Parametri!$B$8</f>
        <v>120</v>
      </c>
      <c r="D8" s="24" t="n">
        <f aca="false">B8*C8</f>
        <v>12000</v>
      </c>
      <c r="E8" s="24" t="n">
        <f aca="false">D8*Parametri!$B$7</f>
        <v>3600</v>
      </c>
      <c r="F8" s="31" t="n">
        <f aca="false">Parametri!$B$16</f>
        <v>0.4</v>
      </c>
      <c r="G8" s="33" t="n">
        <f aca="false">E8*F8</f>
        <v>1440</v>
      </c>
      <c r="H8" s="15" t="s">
        <v>151</v>
      </c>
    </row>
    <row r="11" customFormat="false" ht="15" hidden="false" customHeight="false" outlineLevel="0" collapsed="false">
      <c r="A11" s="37" t="s">
        <v>152</v>
      </c>
    </row>
    <row r="12" customFormat="false" ht="15" hidden="false" customHeight="true" outlineLevel="0" collapsed="false">
      <c r="A12" s="38" t="s">
        <v>153</v>
      </c>
      <c r="B12" s="38"/>
      <c r="C12" s="38"/>
      <c r="D12" s="38"/>
      <c r="E12" s="38"/>
      <c r="F12" s="38"/>
      <c r="G12" s="38"/>
      <c r="H12" s="38"/>
    </row>
    <row r="13" customFormat="false" ht="15" hidden="false" customHeight="false" outlineLevel="0" collapsed="false">
      <c r="A13" s="38"/>
      <c r="B13" s="38"/>
      <c r="C13" s="38"/>
      <c r="D13" s="38"/>
      <c r="E13" s="38"/>
      <c r="F13" s="38"/>
      <c r="G13" s="38"/>
      <c r="H13" s="38"/>
    </row>
    <row r="14" customFormat="false" ht="15" hidden="false" customHeight="false" outlineLevel="0" collapsed="false">
      <c r="A14" s="38"/>
      <c r="B14" s="38"/>
      <c r="C14" s="38"/>
      <c r="D14" s="38"/>
      <c r="E14" s="38"/>
      <c r="F14" s="38"/>
      <c r="G14" s="38"/>
      <c r="H14" s="38"/>
    </row>
  </sheetData>
  <mergeCells count="1">
    <mergeCell ref="A12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7" min="5" style="0" width="15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26.85" hidden="false" customHeight="false" outlineLevel="0" collapsed="false">
      <c r="A4" s="10" t="s">
        <v>156</v>
      </c>
      <c r="B4" s="10" t="s">
        <v>157</v>
      </c>
      <c r="C4" s="10" t="s">
        <v>158</v>
      </c>
      <c r="D4" s="10" t="s">
        <v>159</v>
      </c>
      <c r="E4" s="10" t="s">
        <v>160</v>
      </c>
      <c r="F4" s="10" t="s">
        <v>141</v>
      </c>
      <c r="G4" s="10" t="s">
        <v>161</v>
      </c>
      <c r="H4" s="10" t="s">
        <v>162</v>
      </c>
      <c r="I4" s="10" t="s">
        <v>163</v>
      </c>
      <c r="J4" s="10" t="s">
        <v>164</v>
      </c>
      <c r="K4" s="10" t="s">
        <v>165</v>
      </c>
    </row>
    <row r="5" customFormat="false" ht="15" hidden="false" customHeight="false" outlineLevel="0" collapsed="false">
      <c r="A5" s="39" t="n">
        <v>1</v>
      </c>
      <c r="B5" s="36" t="n">
        <v>5</v>
      </c>
      <c r="C5" s="36" t="n">
        <v>4</v>
      </c>
      <c r="D5" s="36" t="n">
        <v>1</v>
      </c>
      <c r="E5" s="40" t="n">
        <f aca="false">B5*Parametri!$B$10*Parametri!$B$9</f>
        <v>450</v>
      </c>
      <c r="F5" s="40" t="n">
        <f aca="false">E5*Parametri!$B$7</f>
        <v>135</v>
      </c>
      <c r="G5" s="41" t="n">
        <f aca="false">F5*MIN(Parametri!$B$16,Parametri!$B$14+(B5/1000))</f>
        <v>14.175</v>
      </c>
      <c r="H5" s="41" t="n">
        <f aca="false">0*Parametri!$B$19</f>
        <v>0</v>
      </c>
      <c r="I5" s="42" t="n">
        <v>0</v>
      </c>
      <c r="J5" s="41" t="n">
        <f aca="false">Parametri!$B$31+Parametri!$B$32+D5*Parametri!$B$33</f>
        <v>400</v>
      </c>
      <c r="K5" s="43" t="n">
        <f aca="false">F5-G5-H5-I5-J5</f>
        <v>-279.175</v>
      </c>
    </row>
    <row r="6" customFormat="false" ht="15" hidden="false" customHeight="false" outlineLevel="0" collapsed="false">
      <c r="A6" s="39" t="n">
        <v>2</v>
      </c>
      <c r="B6" s="36" t="n">
        <v>15</v>
      </c>
      <c r="C6" s="36" t="n">
        <v>7</v>
      </c>
      <c r="D6" s="36" t="n">
        <v>1</v>
      </c>
      <c r="E6" s="40" t="n">
        <f aca="false">B6*Parametri!$B$10*Parametri!$B$9</f>
        <v>1350</v>
      </c>
      <c r="F6" s="40" t="n">
        <f aca="false">E6*Parametri!$B$7</f>
        <v>405</v>
      </c>
      <c r="G6" s="41" t="n">
        <f aca="false">F6*MIN(Parametri!$B$16,Parametri!$B$14+(B6/1000))</f>
        <v>46.575</v>
      </c>
      <c r="H6" s="41" t="n">
        <f aca="false">0*Parametri!$B$19</f>
        <v>0</v>
      </c>
      <c r="I6" s="42" t="n">
        <v>0</v>
      </c>
      <c r="J6" s="41" t="n">
        <f aca="false">Parametri!$B$31+Parametri!$B$32+D6*Parametri!$B$33</f>
        <v>400</v>
      </c>
      <c r="K6" s="43" t="n">
        <f aca="false">F6-G6-H6-I6-J6</f>
        <v>-41.575</v>
      </c>
    </row>
    <row r="7" customFormat="false" ht="15" hidden="false" customHeight="false" outlineLevel="0" collapsed="false">
      <c r="A7" s="39" t="n">
        <v>3</v>
      </c>
      <c r="B7" s="36" t="n">
        <v>30</v>
      </c>
      <c r="C7" s="36" t="n">
        <v>12</v>
      </c>
      <c r="D7" s="36" t="n">
        <v>1</v>
      </c>
      <c r="E7" s="40" t="n">
        <f aca="false">B7*Parametri!$B$10*Parametri!$B$9</f>
        <v>2700</v>
      </c>
      <c r="F7" s="40" t="n">
        <f aca="false">E7*Parametri!$B$7</f>
        <v>810</v>
      </c>
      <c r="G7" s="41" t="n">
        <f aca="false">F7*MIN(Parametri!$B$16,Parametri!$B$14+(B7/1000))</f>
        <v>105.3</v>
      </c>
      <c r="H7" s="41" t="n">
        <f aca="false">0*Parametri!$B$19</f>
        <v>0</v>
      </c>
      <c r="I7" s="42" t="n">
        <v>0</v>
      </c>
      <c r="J7" s="41" t="n">
        <f aca="false">Parametri!$B$31+Parametri!$B$32+D7*Parametri!$B$33</f>
        <v>400</v>
      </c>
      <c r="K7" s="43" t="n">
        <f aca="false">F7-G7-H7-I7-J7</f>
        <v>304.7</v>
      </c>
    </row>
    <row r="8" customFormat="false" ht="15" hidden="false" customHeight="false" outlineLevel="0" collapsed="false">
      <c r="A8" s="39" t="n">
        <v>4</v>
      </c>
      <c r="B8" s="36" t="n">
        <v>45</v>
      </c>
      <c r="C8" s="36" t="n">
        <v>15</v>
      </c>
      <c r="D8" s="36" t="n">
        <v>1</v>
      </c>
      <c r="E8" s="40" t="n">
        <f aca="false">B8*Parametri!$B$10*Parametri!$B$9</f>
        <v>4050</v>
      </c>
      <c r="F8" s="40" t="n">
        <f aca="false">E8*Parametri!$B$7</f>
        <v>1215</v>
      </c>
      <c r="G8" s="41" t="n">
        <f aca="false">F8*MIN(Parametri!$B$16,Parametri!$B$14+(B8/1000))</f>
        <v>176.175</v>
      </c>
      <c r="H8" s="41" t="n">
        <f aca="false">1*Parametri!$B$19</f>
        <v>200</v>
      </c>
      <c r="I8" s="42" t="n">
        <v>0</v>
      </c>
      <c r="J8" s="41" t="n">
        <f aca="false">Parametri!$B$31+Parametri!$B$32+D8*Parametri!$B$33</f>
        <v>400</v>
      </c>
      <c r="K8" s="43" t="n">
        <f aca="false">F8-G8-H8-I8-J8</f>
        <v>438.825</v>
      </c>
    </row>
    <row r="9" customFormat="false" ht="15" hidden="false" customHeight="false" outlineLevel="0" collapsed="false">
      <c r="A9" s="39" t="n">
        <v>5</v>
      </c>
      <c r="B9" s="36" t="n">
        <v>62</v>
      </c>
      <c r="C9" s="36" t="n">
        <v>18</v>
      </c>
      <c r="D9" s="36" t="n">
        <v>2</v>
      </c>
      <c r="E9" s="40" t="n">
        <f aca="false">B9*Parametri!$B$10*Parametri!$B$9</f>
        <v>5580</v>
      </c>
      <c r="F9" s="40" t="n">
        <f aca="false">E9*Parametri!$B$7</f>
        <v>1674</v>
      </c>
      <c r="G9" s="41" t="n">
        <f aca="false">F9*MIN(Parametri!$B$16,Parametri!$B$14+(B9/1000))</f>
        <v>271.188</v>
      </c>
      <c r="H9" s="41" t="n">
        <f aca="false">0*Parametri!$B$19</f>
        <v>0</v>
      </c>
      <c r="I9" s="42" t="n">
        <v>0</v>
      </c>
      <c r="J9" s="41" t="n">
        <f aca="false">Parametri!$B$31+Parametri!$B$32+D9*Parametri!$B$33</f>
        <v>450</v>
      </c>
      <c r="K9" s="43" t="n">
        <f aca="false">F9-G9-H9-I9-J9</f>
        <v>952.812</v>
      </c>
    </row>
    <row r="10" customFormat="false" ht="15" hidden="false" customHeight="false" outlineLevel="0" collapsed="false">
      <c r="A10" s="39" t="n">
        <v>6</v>
      </c>
      <c r="B10" s="36" t="n">
        <v>80</v>
      </c>
      <c r="C10" s="36" t="n">
        <v>21</v>
      </c>
      <c r="D10" s="36" t="n">
        <v>2</v>
      </c>
      <c r="E10" s="40" t="n">
        <f aca="false">B10*Parametri!$B$10*Parametri!$B$9</f>
        <v>7200</v>
      </c>
      <c r="F10" s="40" t="n">
        <f aca="false">E10*Parametri!$B$7</f>
        <v>2160</v>
      </c>
      <c r="G10" s="41" t="n">
        <f aca="false">F10*MIN(Parametri!$B$16,Parametri!$B$14+(B10/1000))</f>
        <v>388.8</v>
      </c>
      <c r="H10" s="41" t="n">
        <f aca="false">1*Parametri!$B$19</f>
        <v>200</v>
      </c>
      <c r="I10" s="42" t="n">
        <v>0</v>
      </c>
      <c r="J10" s="41" t="n">
        <f aca="false">Parametri!$B$31+Parametri!$B$32+D10*Parametri!$B$33</f>
        <v>450</v>
      </c>
      <c r="K10" s="43" t="n">
        <f aca="false">F10-G10-H10-I10-J10</f>
        <v>1121.2</v>
      </c>
    </row>
    <row r="11" customFormat="false" ht="15" hidden="false" customHeight="false" outlineLevel="0" collapsed="false">
      <c r="A11" s="39" t="n">
        <v>7</v>
      </c>
      <c r="B11" s="36" t="n">
        <v>100</v>
      </c>
      <c r="C11" s="36" t="n">
        <v>24</v>
      </c>
      <c r="D11" s="36" t="n">
        <v>2</v>
      </c>
      <c r="E11" s="40" t="n">
        <f aca="false">B11*Parametri!$B$10*Parametri!$B$9</f>
        <v>9000</v>
      </c>
      <c r="F11" s="40" t="n">
        <f aca="false">E11*Parametri!$B$7</f>
        <v>2700</v>
      </c>
      <c r="G11" s="41" t="n">
        <f aca="false">F11*MIN(Parametri!$B$16,Parametri!$B$14+(B11/1000))</f>
        <v>540</v>
      </c>
      <c r="H11" s="41" t="n">
        <f aca="false">1*Parametri!$B$19</f>
        <v>200</v>
      </c>
      <c r="I11" s="42" t="n">
        <v>300</v>
      </c>
      <c r="J11" s="41" t="n">
        <f aca="false">Parametri!$B$31+Parametri!$B$32+D11*Parametri!$B$33</f>
        <v>450</v>
      </c>
      <c r="K11" s="43" t="n">
        <f aca="false">F11-G11-H11-I11-J11</f>
        <v>1210</v>
      </c>
    </row>
    <row r="12" customFormat="false" ht="15" hidden="false" customHeight="false" outlineLevel="0" collapsed="false">
      <c r="A12" s="39" t="n">
        <v>8</v>
      </c>
      <c r="B12" s="36" t="n">
        <v>122</v>
      </c>
      <c r="C12" s="36" t="n">
        <v>27</v>
      </c>
      <c r="D12" s="36" t="n">
        <v>2</v>
      </c>
      <c r="E12" s="40" t="n">
        <f aca="false">B12*Parametri!$B$10*Parametri!$B$9</f>
        <v>10980</v>
      </c>
      <c r="F12" s="40" t="n">
        <f aca="false">E12*Parametri!$B$7</f>
        <v>3294</v>
      </c>
      <c r="G12" s="41" t="n">
        <f aca="false">F12*MIN(Parametri!$B$16,Parametri!$B$14+(B12/1000))</f>
        <v>731.268</v>
      </c>
      <c r="H12" s="41" t="n">
        <f aca="false">0*Parametri!$B$19</f>
        <v>0</v>
      </c>
      <c r="I12" s="42" t="n">
        <v>0</v>
      </c>
      <c r="J12" s="41" t="n">
        <f aca="false">Parametri!$B$31+Parametri!$B$32+D12*Parametri!$B$33</f>
        <v>450</v>
      </c>
      <c r="K12" s="43" t="n">
        <f aca="false">F12-G12-H12-I12-J12</f>
        <v>2112.732</v>
      </c>
    </row>
    <row r="13" customFormat="false" ht="15" hidden="false" customHeight="false" outlineLevel="0" collapsed="false">
      <c r="A13" s="39" t="n">
        <v>9</v>
      </c>
      <c r="B13" s="36" t="n">
        <v>148</v>
      </c>
      <c r="C13" s="36" t="n">
        <v>31</v>
      </c>
      <c r="D13" s="36" t="n">
        <v>3</v>
      </c>
      <c r="E13" s="40" t="n">
        <f aca="false">B13*Parametri!$B$10*Parametri!$B$9</f>
        <v>13320</v>
      </c>
      <c r="F13" s="40" t="n">
        <f aca="false">E13*Parametri!$B$7</f>
        <v>3996</v>
      </c>
      <c r="G13" s="41" t="n">
        <f aca="false">F13*MIN(Parametri!$B$16,Parametri!$B$14+(B13/1000))</f>
        <v>991.008</v>
      </c>
      <c r="H13" s="41" t="n">
        <f aca="false">1*Parametri!$B$19</f>
        <v>200</v>
      </c>
      <c r="I13" s="42" t="n">
        <v>0</v>
      </c>
      <c r="J13" s="41" t="n">
        <f aca="false">Parametri!$B$31+Parametri!$B$32+D13*Parametri!$B$33</f>
        <v>500</v>
      </c>
      <c r="K13" s="43" t="n">
        <f aca="false">F13-G13-H13-I13-J13</f>
        <v>2304.992</v>
      </c>
    </row>
    <row r="14" customFormat="false" ht="15" hidden="false" customHeight="false" outlineLevel="0" collapsed="false">
      <c r="A14" s="39" t="n">
        <v>10</v>
      </c>
      <c r="B14" s="36" t="n">
        <v>176</v>
      </c>
      <c r="C14" s="36" t="n">
        <v>35</v>
      </c>
      <c r="D14" s="36" t="n">
        <v>3</v>
      </c>
      <c r="E14" s="40" t="n">
        <f aca="false">B14*Parametri!$B$10*Parametri!$B$9</f>
        <v>15840</v>
      </c>
      <c r="F14" s="40" t="n">
        <f aca="false">E14*Parametri!$B$7</f>
        <v>4752</v>
      </c>
      <c r="G14" s="41" t="n">
        <f aca="false">F14*MIN(Parametri!$B$16,Parametri!$B$14+(B14/1000))</f>
        <v>1311.552</v>
      </c>
      <c r="H14" s="41" t="n">
        <f aca="false">1*Parametri!$B$19</f>
        <v>200</v>
      </c>
      <c r="I14" s="42" t="n">
        <v>0</v>
      </c>
      <c r="J14" s="41" t="n">
        <f aca="false">Parametri!$B$31+Parametri!$B$32+D14*Parametri!$B$33</f>
        <v>500</v>
      </c>
      <c r="K14" s="43" t="n">
        <f aca="false">F14-G14-H14-I14-J14</f>
        <v>2740.448</v>
      </c>
    </row>
    <row r="15" customFormat="false" ht="15" hidden="false" customHeight="false" outlineLevel="0" collapsed="false">
      <c r="A15" s="39" t="n">
        <v>11</v>
      </c>
      <c r="B15" s="36" t="n">
        <v>206</v>
      </c>
      <c r="C15" s="36" t="n">
        <v>38</v>
      </c>
      <c r="D15" s="36" t="n">
        <v>3</v>
      </c>
      <c r="E15" s="40" t="n">
        <f aca="false">B15*Parametri!$B$10*Parametri!$B$9</f>
        <v>18540</v>
      </c>
      <c r="F15" s="40" t="n">
        <f aca="false">E15*Parametri!$B$7</f>
        <v>5562</v>
      </c>
      <c r="G15" s="41" t="n">
        <f aca="false">F15*MIN(Parametri!$B$16,Parametri!$B$14+(B15/1000))</f>
        <v>1701.972</v>
      </c>
      <c r="H15" s="41" t="n">
        <f aca="false">1*Parametri!$B$19</f>
        <v>200</v>
      </c>
      <c r="I15" s="42" t="n">
        <v>300</v>
      </c>
      <c r="J15" s="41" t="n">
        <f aca="false">Parametri!$B$31+Parametri!$B$32+D15*Parametri!$B$33</f>
        <v>500</v>
      </c>
      <c r="K15" s="43" t="n">
        <f aca="false">F15-G15-H15-I15-J15</f>
        <v>2860.028</v>
      </c>
    </row>
    <row r="16" customFormat="false" ht="15" hidden="false" customHeight="false" outlineLevel="0" collapsed="false">
      <c r="A16" s="39" t="n">
        <v>12</v>
      </c>
      <c r="B16" s="36" t="n">
        <v>240</v>
      </c>
      <c r="C16" s="36" t="n">
        <v>42</v>
      </c>
      <c r="D16" s="36" t="n">
        <v>3</v>
      </c>
      <c r="E16" s="40" t="n">
        <f aca="false">B16*Parametri!$B$10*Parametri!$B$9</f>
        <v>21600</v>
      </c>
      <c r="F16" s="40" t="n">
        <f aca="false">E16*Parametri!$B$7</f>
        <v>6480</v>
      </c>
      <c r="G16" s="41" t="n">
        <f aca="false">F16*MIN(Parametri!$B$16,Parametri!$B$14+(B16/1000))</f>
        <v>2203.2</v>
      </c>
      <c r="H16" s="41" t="n">
        <f aca="false">1*Parametri!$B$19</f>
        <v>200</v>
      </c>
      <c r="I16" s="42" t="n">
        <v>3000</v>
      </c>
      <c r="J16" s="41" t="n">
        <f aca="false">Parametri!$B$31+Parametri!$B$32+D16*Parametri!$B$33</f>
        <v>500</v>
      </c>
      <c r="K16" s="43" t="n">
        <f aca="false">F16-G16-H16-I16-J16</f>
        <v>576.8</v>
      </c>
    </row>
    <row r="17" customFormat="false" ht="15" hidden="false" customHeight="false" outlineLevel="0" collapsed="false">
      <c r="A17" s="44" t="s">
        <v>166</v>
      </c>
      <c r="E17" s="43" t="n">
        <f aca="false">SUM(E5:E16)</f>
        <v>110610</v>
      </c>
      <c r="F17" s="43" t="n">
        <f aca="false">SUM(F5:F16)</f>
        <v>33183</v>
      </c>
      <c r="G17" s="43" t="n">
        <f aca="false">SUM(G5:G16)</f>
        <v>8481.213</v>
      </c>
      <c r="H17" s="43" t="n">
        <f aca="false">SUM(H5:H16)</f>
        <v>1400</v>
      </c>
      <c r="I17" s="43" t="n">
        <f aca="false">SUM(I5:I16)</f>
        <v>3600</v>
      </c>
      <c r="J17" s="43" t="n">
        <f aca="false">SUM(J5:J16)</f>
        <v>5400</v>
      </c>
      <c r="K17" s="43" t="n">
        <f aca="false">SUM(K5:K16)</f>
        <v>14301.787</v>
      </c>
    </row>
    <row r="19" customFormat="false" ht="15" hidden="false" customHeight="false" outlineLevel="0" collapsed="false">
      <c r="A19" s="3" t="s">
        <v>167</v>
      </c>
      <c r="C19" s="6" t="n">
        <f aca="false">IFERROR(MATCH(TRUE(),INDEX(K5:K16&gt;0,0),0),"mai")</f>
        <v>3</v>
      </c>
    </row>
    <row r="20" customFormat="false" ht="15" hidden="false" customHeight="false" outlineLevel="0" collapsed="false">
      <c r="A20" s="3" t="s">
        <v>168</v>
      </c>
      <c r="C20" s="45" t="n">
        <f aca="false">K17</f>
        <v>14301.787</v>
      </c>
    </row>
    <row r="21" customFormat="false" ht="15" hidden="false" customHeight="false" outlineLevel="0" collapsed="false">
      <c r="A21" s="3" t="s">
        <v>169</v>
      </c>
      <c r="C21" s="46" t="n">
        <f aca="false">G17/MAX(1,H17+I17)</f>
        <v>1.6962426</v>
      </c>
      <c r="E21" s="47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5" customFormat="false" ht="15" hidden="false" customHeight="false" outlineLevel="0" collapsed="false">
      <c r="A5" s="13" t="s">
        <v>173</v>
      </c>
      <c r="B5" s="48" t="n">
        <f aca="false">'Proiezione 12 mesi'!E17</f>
        <v>110610</v>
      </c>
      <c r="C5" s="15" t="s">
        <v>174</v>
      </c>
    </row>
    <row r="6" customFormat="false" ht="15" hidden="false" customHeight="false" outlineLevel="0" collapsed="false">
      <c r="A6" s="13" t="s">
        <v>175</v>
      </c>
      <c r="B6" s="49" t="n">
        <f aca="false">B5*(1+Parametri!$B$6)</f>
        <v>138262.5</v>
      </c>
      <c r="C6" s="15" t="s">
        <v>176</v>
      </c>
    </row>
    <row r="7" customFormat="false" ht="15" hidden="false" customHeight="false" outlineLevel="0" collapsed="false">
      <c r="A7" s="13" t="s">
        <v>177</v>
      </c>
      <c r="B7" s="50" t="n">
        <f aca="false">B5*Parametri!$B$6</f>
        <v>27652.5</v>
      </c>
      <c r="C7" s="15" t="s">
        <v>178</v>
      </c>
    </row>
    <row r="8" customFormat="false" ht="15" hidden="false" customHeight="false" outlineLevel="0" collapsed="false">
      <c r="A8" s="13" t="s">
        <v>179</v>
      </c>
      <c r="B8" s="25" t="n">
        <f aca="false">B5/B6</f>
        <v>0.8</v>
      </c>
      <c r="C8" s="15" t="s">
        <v>180</v>
      </c>
    </row>
    <row r="9" customFormat="false" ht="15" hidden="false" customHeight="false" outlineLevel="0" collapsed="false">
      <c r="A9" s="13" t="s">
        <v>181</v>
      </c>
      <c r="B9" s="49" t="n">
        <f aca="false">B6*Parametri!$B$36</f>
        <v>103696.875</v>
      </c>
      <c r="C9" s="15" t="s">
        <v>182</v>
      </c>
    </row>
    <row r="10" customFormat="false" ht="15" hidden="false" customHeight="false" outlineLevel="0" collapsed="false">
      <c r="A10" s="13" t="s">
        <v>183</v>
      </c>
      <c r="B10" s="50" t="n">
        <f aca="false">B6-B9</f>
        <v>34565.625</v>
      </c>
      <c r="C10" s="15" t="s">
        <v>184</v>
      </c>
    </row>
    <row r="12" customFormat="false" ht="15" hidden="false" customHeight="false" outlineLevel="0" collapsed="false">
      <c r="A12" s="51" t="s">
        <v>185</v>
      </c>
    </row>
    <row r="13" customFormat="false" ht="15" hidden="false" customHeight="false" outlineLevel="0" collapsed="false">
      <c r="A13" s="13" t="s">
        <v>186</v>
      </c>
      <c r="B13" s="48" t="n">
        <f aca="false">'Proiezione 12 mesi'!F17</f>
        <v>33183</v>
      </c>
      <c r="C13" s="15" t="s">
        <v>187</v>
      </c>
    </row>
    <row r="14" customFormat="false" ht="15" hidden="false" customHeight="false" outlineLevel="0" collapsed="false">
      <c r="A14" s="13" t="s">
        <v>188</v>
      </c>
      <c r="B14" s="48" t="n">
        <f aca="false">B13*Parametri!$B$37</f>
        <v>6636.6</v>
      </c>
      <c r="C14" s="15" t="s">
        <v>189</v>
      </c>
    </row>
    <row r="15" customFormat="false" ht="15" hidden="false" customHeight="false" outlineLevel="0" collapsed="false">
      <c r="A15" s="13" t="s">
        <v>190</v>
      </c>
      <c r="B15" s="48" t="n">
        <f aca="false">B13*Parametri!$B$38</f>
        <v>9954.9</v>
      </c>
      <c r="C15" s="15" t="s">
        <v>191</v>
      </c>
    </row>
    <row r="16" customFormat="false" ht="15" hidden="false" customHeight="false" outlineLevel="0" collapsed="false">
      <c r="A16" s="13" t="s">
        <v>192</v>
      </c>
      <c r="B16" s="48" t="n">
        <f aca="false">Parametri!$B$23</f>
        <v>20000</v>
      </c>
      <c r="C16" s="15" t="s">
        <v>193</v>
      </c>
    </row>
    <row r="17" customFormat="false" ht="15" hidden="false" customHeight="false" outlineLevel="0" collapsed="false">
      <c r="A17" s="13" t="s">
        <v>194</v>
      </c>
      <c r="B17" s="52" t="str">
        <f aca="false">IF(B15&gt;=B16,"SI","NO — servono ulteriori "&amp;TEXT(B16-B15,"€#,##0"))</f>
        <v>NO — servono ulteriori €10,045</v>
      </c>
      <c r="C17" s="15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5" customFormat="false" ht="22.35" hidden="false" customHeight="false" outlineLevel="0" collapsed="false">
      <c r="A5" s="13" t="s">
        <v>198</v>
      </c>
      <c r="B5" s="48" t="n">
        <f aca="false">Parametri!$B$19</f>
        <v>200</v>
      </c>
      <c r="C5" s="15" t="s">
        <v>199</v>
      </c>
    </row>
    <row r="6" customFormat="false" ht="15" hidden="false" customHeight="false" outlineLevel="0" collapsed="false">
      <c r="A6" s="13" t="s">
        <v>200</v>
      </c>
      <c r="B6" s="25" t="n">
        <f aca="false">Parametri!$B$7</f>
        <v>0.3</v>
      </c>
      <c r="C6" s="15" t="s">
        <v>201</v>
      </c>
    </row>
    <row r="7" customFormat="false" ht="15" hidden="false" customHeight="false" outlineLevel="0" collapsed="false">
      <c r="A7" s="13" t="s">
        <v>202</v>
      </c>
      <c r="B7" s="48" t="n">
        <f aca="false">B5/B6</f>
        <v>666.666666666667</v>
      </c>
      <c r="C7" s="15" t="s">
        <v>203</v>
      </c>
    </row>
    <row r="9" customFormat="false" ht="15" hidden="false" customHeight="false" outlineLevel="0" collapsed="false">
      <c r="A9" s="51" t="s">
        <v>204</v>
      </c>
    </row>
    <row r="10" customFormat="false" ht="22.35" hidden="false" customHeight="false" outlineLevel="0" collapsed="false">
      <c r="A10" s="13" t="s">
        <v>205</v>
      </c>
      <c r="B10" s="53" t="n">
        <f aca="false">Parametri!$B$27</f>
        <v>6</v>
      </c>
      <c r="C10" s="15" t="s">
        <v>206</v>
      </c>
    </row>
    <row r="11" customFormat="false" ht="15" hidden="false" customHeight="false" outlineLevel="0" collapsed="false">
      <c r="A11" s="13" t="s">
        <v>207</v>
      </c>
      <c r="B11" s="53" t="n">
        <f aca="false">Parametri!$B$28</f>
        <v>2</v>
      </c>
      <c r="C11" s="15" t="s">
        <v>208</v>
      </c>
    </row>
    <row r="12" customFormat="false" ht="15" hidden="false" customHeight="false" outlineLevel="0" collapsed="false">
      <c r="A12" s="13" t="s">
        <v>209</v>
      </c>
      <c r="B12" s="53" t="n">
        <f aca="false">B10/B11</f>
        <v>3</v>
      </c>
      <c r="C12" s="15"/>
    </row>
    <row r="13" customFormat="false" ht="15" hidden="false" customHeight="false" outlineLevel="0" collapsed="false">
      <c r="A13" s="13" t="s">
        <v>210</v>
      </c>
      <c r="B13" s="48" t="n">
        <f aca="false">B12*Parametri!$B$8</f>
        <v>360</v>
      </c>
      <c r="C13" s="15"/>
    </row>
    <row r="14" customFormat="false" ht="15" hidden="false" customHeight="false" outlineLevel="0" collapsed="false">
      <c r="A14" s="13" t="s">
        <v>211</v>
      </c>
      <c r="B14" s="48" t="n">
        <f aca="false">B13*Parametri!$B$7</f>
        <v>108</v>
      </c>
      <c r="C14" s="15"/>
    </row>
    <row r="15" customFormat="false" ht="15" hidden="false" customHeight="false" outlineLevel="0" collapsed="false">
      <c r="A15" s="13" t="s">
        <v>212</v>
      </c>
      <c r="B15" s="54" t="n">
        <f aca="false">B14/B5</f>
        <v>0.54</v>
      </c>
      <c r="C15" s="15" t="s">
        <v>213</v>
      </c>
    </row>
    <row r="17" customFormat="false" ht="15" hidden="false" customHeight="false" outlineLevel="0" collapsed="false">
      <c r="A17" s="13" t="s">
        <v>214</v>
      </c>
      <c r="B17" s="55" t="n">
        <f aca="false">ROUNDUP(B7/Parametri!$B$8*Parametri!$B$28,0)</f>
        <v>12</v>
      </c>
      <c r="C17" s="15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216</v>
      </c>
    </row>
    <row r="2" customFormat="false" ht="15" hidden="false" customHeight="false" outlineLevel="0" collapsed="false">
      <c r="A2" s="2" t="s">
        <v>217</v>
      </c>
    </row>
    <row r="4" customFormat="false" ht="15" hidden="false" customHeight="false" outlineLevel="0" collapsed="false">
      <c r="A4" s="10" t="s">
        <v>218</v>
      </c>
      <c r="B4" s="10" t="s">
        <v>219</v>
      </c>
      <c r="C4" s="10" t="s">
        <v>220</v>
      </c>
      <c r="D4" s="10" t="s">
        <v>221</v>
      </c>
      <c r="E4" s="10" t="s">
        <v>222</v>
      </c>
    </row>
    <row r="5" customFormat="false" ht="22.35" hidden="false" customHeight="false" outlineLevel="0" collapsed="false">
      <c r="A5" s="13" t="s">
        <v>223</v>
      </c>
      <c r="B5" s="40" t="n">
        <f aca="false">SUM('Proiezione 12 mesi'!F11:F16)</f>
        <v>26784</v>
      </c>
      <c r="C5" s="40" t="n">
        <f aca="false">B5*0.82</f>
        <v>21962.88</v>
      </c>
      <c r="D5" s="40" t="n">
        <f aca="false">C5-B5</f>
        <v>-4821.12</v>
      </c>
      <c r="E5" s="15" t="s">
        <v>224</v>
      </c>
    </row>
    <row r="6" customFormat="false" ht="15" hidden="false" customHeight="false" outlineLevel="0" collapsed="false">
      <c r="A6" s="13" t="s">
        <v>161</v>
      </c>
      <c r="B6" s="40" t="n">
        <f aca="false">SUM('Proiezione 12 mesi'!G11:G16)</f>
        <v>7479</v>
      </c>
      <c r="C6" s="40" t="n">
        <f aca="false">B6*0.84</f>
        <v>6282.36</v>
      </c>
      <c r="D6" s="40" t="n">
        <f aca="false">C6-B6</f>
        <v>-1196.64</v>
      </c>
      <c r="E6" s="15" t="s">
        <v>225</v>
      </c>
    </row>
    <row r="7" customFormat="false" ht="22.35" hidden="false" customHeight="false" outlineLevel="0" collapsed="false">
      <c r="A7" s="13" t="s">
        <v>226</v>
      </c>
      <c r="B7" s="40" t="n">
        <f aca="false">SUM('Proiezione 12 mesi'!H11:H16)</f>
        <v>1000</v>
      </c>
      <c r="C7" s="40" t="s">
        <v>227</v>
      </c>
      <c r="D7" s="40" t="n">
        <f aca="false">C7-B7</f>
        <v>-1000</v>
      </c>
      <c r="E7" s="15" t="s">
        <v>228</v>
      </c>
    </row>
    <row r="8" customFormat="false" ht="22.35" hidden="false" customHeight="false" outlineLevel="0" collapsed="false">
      <c r="A8" s="13" t="s">
        <v>163</v>
      </c>
      <c r="B8" s="40" t="n">
        <f aca="false">SUM('Proiezione 12 mesi'!I11:I16)</f>
        <v>3600</v>
      </c>
      <c r="C8" s="40" t="s">
        <v>227</v>
      </c>
      <c r="D8" s="40" t="n">
        <f aca="false">C8-B8</f>
        <v>-3600</v>
      </c>
      <c r="E8" s="15" t="s">
        <v>229</v>
      </c>
    </row>
    <row r="9" customFormat="false" ht="15" hidden="false" customHeight="false" outlineLevel="0" collapsed="false">
      <c r="A9" s="13" t="s">
        <v>164</v>
      </c>
      <c r="B9" s="40" t="n">
        <f aca="false">SUM('Proiezione 12 mesi'!J11:J16)</f>
        <v>2900</v>
      </c>
      <c r="C9" s="40" t="n">
        <f aca="false">B9*0.9</f>
        <v>2610</v>
      </c>
      <c r="D9" s="40" t="n">
        <f aca="false">C9-B9</f>
        <v>-290</v>
      </c>
      <c r="E9" s="15" t="s">
        <v>230</v>
      </c>
    </row>
    <row r="11" customFormat="false" ht="15" hidden="false" customHeight="false" outlineLevel="0" collapsed="false">
      <c r="A11" s="44" t="s">
        <v>231</v>
      </c>
      <c r="B11" s="43" t="n">
        <f aca="false">B5-B6-B7-B8-B9</f>
        <v>11805</v>
      </c>
      <c r="C11" s="43" t="n">
        <f aca="false">C5-C6-C7-C8-C9</f>
        <v>13070.52</v>
      </c>
      <c r="D11" s="43" t="n">
        <f aca="false">C11-B11</f>
        <v>1265.52</v>
      </c>
      <c r="E11" s="56" t="s">
        <v>232</v>
      </c>
    </row>
    <row r="13" customFormat="false" ht="15" hidden="false" customHeight="false" outlineLevel="0" collapsed="false">
      <c r="A13" s="3" t="s">
        <v>233</v>
      </c>
      <c r="B13" s="57" t="str">
        <f aca="false">IF(C11&gt;=B11,"Il modello AZIENDALE regge (margine invariato o migliore).","Il modello aziendale NON regge senza nuovi agenti.")</f>
        <v>Il modello AZIENDALE regge (margine invariato o migliore).</v>
      </c>
      <c r="C13" s="57"/>
      <c r="D13" s="57"/>
      <c r="E13" s="57"/>
    </row>
    <row r="15" customFormat="false" ht="15" hidden="false" customHeight="false" outlineLevel="0" collapsed="false">
      <c r="A15" s="37" t="s">
        <v>234</v>
      </c>
    </row>
    <row r="16" customFormat="false" ht="15" hidden="false" customHeight="true" outlineLevel="0" collapsed="false">
      <c r="A16" s="38" t="s">
        <v>235</v>
      </c>
      <c r="B16" s="38"/>
      <c r="C16" s="38"/>
      <c r="D16" s="38"/>
      <c r="E16" s="38"/>
    </row>
    <row r="17" customFormat="false" ht="15" hidden="false" customHeight="false" outlineLevel="0" collapsed="false">
      <c r="A17" s="38"/>
      <c r="B17" s="38"/>
      <c r="C17" s="38"/>
      <c r="D17" s="38"/>
      <c r="E17" s="38"/>
    </row>
    <row r="18" customFormat="false" ht="15" hidden="false" customHeight="false" outlineLevel="0" collapsed="false">
      <c r="A18" s="38"/>
      <c r="B18" s="38"/>
      <c r="C18" s="38"/>
      <c r="D18" s="38"/>
      <c r="E18" s="38"/>
    </row>
    <row r="19" customFormat="false" ht="15" hidden="false" customHeight="false" outlineLevel="0" collapsed="false">
      <c r="A19" s="38"/>
      <c r="B19" s="38"/>
      <c r="C19" s="38"/>
      <c r="D19" s="38"/>
      <c r="E19" s="38"/>
    </row>
  </sheetData>
  <mergeCells count="2">
    <mergeCell ref="B13:E13"/>
    <mergeCell ref="A16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2026-08-14T15:55:35Z</dcterms:created>
  <dc:creator>openpyxl</dc:creator>
  <dc:description/>
  <dc:language>en-US</dc:language>
  <cp:lastModifiedBy/>
  <dcterms:modified xsi:type="dcterms:W3CDTF">2026-08-14T15:55:35Z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